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docProps/core.xml" Type="http://schemas.openxmlformats.org/package/2006/relationships/metadata/core-properties"/><Relationship Id="rId2" Target="docProps/custom.xml" Type="http://schemas.openxmlformats.org/officeDocument/2006/relationships/custom-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Read Me" sheetId="1" r:id="rId4"/>
    <sheet state="visible" name="Test Plan Summary" sheetId="2" r:id="rId5"/>
    <sheet state="visible" name="Assumptions &amp; Open Qs" sheetId="3" r:id="rId6"/>
    <sheet state="visible" name="RTM" sheetId="4" r:id="rId7"/>
    <sheet state="visible" name="Test Cases" sheetId="5" r:id="rId8"/>
    <sheet name="Other Category" r:id="rId11" sheetId="6"/>
    <sheet name="Notification" r:id="rId12" sheetId="7"/>
    <sheet name="Member_benefits" r:id="rId13" sheetId="8"/>
    <sheet name="Quick_tour" r:id="rId14" sheetId="9"/>
    <sheet name="Member Profile Picture &amp; Produc" r:id="rId15" sheetId="10"/>
    <sheet name="Other Referral Setting" r:id="rId16" sheetId="11"/>
  </sheets>
  <definedNames>
    <definedName hidden="1" localSheetId="2" name="_xlnm._FilterDatabase">'Assumptions &amp; Open Qs'!$A$4:$E$18</definedName>
    <definedName hidden="1" localSheetId="3" name="_xlnm._FilterDatabase">RTM!$A$4:$E$24</definedName>
  </definedNames>
  <calcPr fullCalcOnLoad="true"/>
  <extLst>
    <ext uri="GoogleSheetsCustomDataVersion2">
      <go:sheetsCustomData xmlns:go="http://customooxmlschemas.google.com/" r:id="rId10" roundtripDataChecksum="yLd8hcIFn/Fo4AMbRmkr9CA/o0Zpihdu7DHfHnaUGJE="/>
    </ext>
  </extLst>
</workbook>
</file>

<file path=xl/sharedStrings.xml><?xml version="1.0" encoding="utf-8"?>
<sst xmlns="http://schemas.openxmlformats.org/spreadsheetml/2006/main" count="8483" uniqueCount="4829">
  <si>
    <t>Test Plan Summary</t>
  </si>
  <si>
    <t>UNCS — Rebate Program (Multi-Config) — Test Case Workbook</t>
  </si>
  <si>
    <t>Assumptions &amp; Open Questions</t>
  </si>
  <si>
    <t>Requirement Traceability Matrix</t>
  </si>
  <si>
    <t>Rebate Program (Multi-Config) — Real-time &amp; Daily Programs, Agent/User Group Targeting</t>
  </si>
  <si>
    <t>Prepared following the standard Software Testing Life Cycle (STLC)</t>
  </si>
  <si>
    <t>Requirements are grouped Real-time first, then Daily, then shared/cross-cutting — matching the Test Cases tab</t>
  </si>
  <si>
    <t>Req ID</t>
  </si>
  <si>
    <t>Feature</t>
  </si>
  <si>
    <t>Purpose</t>
  </si>
  <si>
    <t>Requirement</t>
  </si>
  <si>
    <t>Source</t>
  </si>
  <si>
    <t>Covered By</t>
  </si>
  <si>
    <t>Coverage</t>
  </si>
  <si>
    <t>REQ-A1</t>
  </si>
  <si>
    <t>Rebate Program — multi-configuration enhancement: independent Real-time and Daily rebate programs, each assignable to Agent and User Groups, with type-scoped uniqueness and automated settlement.</t>
  </si>
  <si>
    <t>Real-time rebate program list — view, search/filter, Modify/Delete, pagination (Real-time tab).</t>
  </si>
  <si>
    <t>UI Note 1 (program list)</t>
  </si>
  <si>
    <t>RBMP-001 … RBMP-006</t>
  </si>
  <si>
    <t>Covered — pending AQ-09</t>
  </si>
  <si>
    <t>REQ-A2</t>
  </si>
  <si>
    <t>Real-time global rebate settings — Min Claim, Expire Time, Status.</t>
  </si>
  <si>
    <t>UI Note 1 (global settings panel)</t>
  </si>
  <si>
    <t>RBMP-007 … RBMP-010</t>
  </si>
  <si>
    <t>Covered — pending AQ-01</t>
  </si>
  <si>
    <t>REQ-A3</t>
  </si>
  <si>
    <t>Create a Real-time rebate program — name, status, targeting, game rebate rates.</t>
  </si>
  <si>
    <t>UI Note 2</t>
  </si>
  <si>
    <t>RBMP-011 … RBMP-021</t>
  </si>
  <si>
    <t>Covered — pending AQ-04</t>
  </si>
  <si>
    <t>REQ-A4</t>
  </si>
  <si>
    <t>Modify an existing Real-time rebate program.</t>
  </si>
  <si>
    <t>Inferred from the list's "Modify" action</t>
  </si>
  <si>
    <t>RBMP-022 … RBMP-029</t>
  </si>
  <si>
    <t>Covered</t>
  </si>
  <si>
    <t>REQ-A5</t>
  </si>
  <si>
    <t>Delete a Real-time rebate program.</t>
  </si>
  <si>
    <t>Inferred from the list's "Delete" action</t>
  </si>
  <si>
    <t>RBMP-030 … RBMP-033</t>
  </si>
  <si>
    <t>Covered — pending AQ-05</t>
  </si>
  <si>
    <t>REQ-A6</t>
  </si>
  <si>
    <t>Agent/User Group targeting for Real-time programs.</t>
  </si>
  <si>
    <t>UI Note 3 (transfer selection)</t>
  </si>
  <si>
    <t>RBMP-034 … RBMP-042</t>
  </si>
  <si>
    <t>Objective (per doc)</t>
  </si>
  <si>
    <t>Covered — pending AQ-11</t>
  </si>
  <si>
    <t>Enhance the rebate feature to support multiple Real-time and Daily rebate programs, assign each program to Agents and User Groups, prevent overlapping assignments within the same rebate type, and guarantee correct settlement processing.</t>
  </si>
  <si>
    <t>REQ-A7</t>
  </si>
  <si>
    <t>Game-category rebate rate table for Real-time programs.</t>
  </si>
  <si>
    <t>Log these against the full requirement doc before/while executing — several affect settlement accuracy</t>
  </si>
  <si>
    <t>RBMP-043 … RBMP-050</t>
  </si>
  <si>
    <t>Covered — pending AQ-06, AQ-07, AQ-13</t>
  </si>
  <si>
    <t>REQ-A8</t>
  </si>
  <si>
    <t>Real-time settlement processing.</t>
  </si>
  <si>
    <t>Doc §1 Objective</t>
  </si>
  <si>
    <t>RBMP-051 … RBMP-055</t>
  </si>
  <si>
    <t>Covered — pending AQ-02, AQ-08</t>
  </si>
  <si>
    <t>REQ-B1</t>
  </si>
  <si>
    <t>Source documents</t>
  </si>
  <si>
    <t>Daily rebate program list — view, search/filter, Modify/Delete, pagination (Daily tab).</t>
  </si>
  <si>
    <t>UI Note 4 (program list)</t>
  </si>
  <si>
    <t>RBMP-056 … RBMP-061</t>
  </si>
  <si>
    <t>This workbook takes the "Rebate Program — Final Requirements" document and the six annotated UI captures supplied by the requester (Platform project &gt; sample feature using AI &gt; "3. Rebate program - can setup multiple program") and turns them into an executable STLC test case suite, in the team's standard column and section-banner format.</t>
  </si>
  <si>
    <t>REQ-B2</t>
  </si>
  <si>
    <t>Daily global rebate settings — Release Time, Expire Time, Status.</t>
  </si>
  <si>
    <t>ID</t>
  </si>
  <si>
    <t>UI Note 4 (global settings panel)</t>
  </si>
  <si>
    <t>RBMP-062 … RBMP-064</t>
  </si>
  <si>
    <r>
      <rPr>
        <rFont val="Arial"/>
        <color theme="1"/>
        <sz val="10.0"/>
      </rPr>
      <t xml:space="preserve">"Rebate Program — Final Requirements" / </t>
    </r>
    <r>
      <rPr>
        <rFont val="Noto Sans CJK SC"/>
        <color theme="1"/>
        <sz val="10.0"/>
      </rPr>
      <t xml:space="preserve">返水计划 — 最终需求 </t>
    </r>
    <r>
      <rPr>
        <rFont val="Arial"/>
        <color theme="1"/>
        <sz val="10.0"/>
      </rPr>
      <t>(Google Doc, partial access — see Assumptions tab) and six annotated UI captures supplied by the requester.</t>
    </r>
  </si>
  <si>
    <t>Area</t>
  </si>
  <si>
    <t>Assumption / Open Question</t>
  </si>
  <si>
    <t>REQ-B3</t>
  </si>
  <si>
    <t>Why it matters</t>
  </si>
  <si>
    <t>Create a Daily rebate program — name, status, targeting, game rebate rates.</t>
  </si>
  <si>
    <t>Related Test Cases</t>
  </si>
  <si>
    <t>UI Note 5</t>
  </si>
  <si>
    <t>RBMP-065 … RBMP-076</t>
  </si>
  <si>
    <t>REQ-B4</t>
  </si>
  <si>
    <t>AQ-01</t>
  </si>
  <si>
    <t>Modify an existing Daily rebate program.</t>
  </si>
  <si>
    <t>RBMP-077 … RBMP-084</t>
  </si>
  <si>
    <t>Module location</t>
  </si>
  <si>
    <t>Global vs. per-program Status</t>
  </si>
  <si>
    <t>UNCS merchant admin back-office, Rebate Management &gt; Rebate programs (Real-time rebate / Daily rebate tabs).</t>
  </si>
  <si>
    <t>REQ-B5</t>
  </si>
  <si>
    <t>Delete a Daily rebate program.</t>
  </si>
  <si>
    <t>RBMP-085 … RBMP-088</t>
  </si>
  <si>
    <t>REQ-B6</t>
  </si>
  <si>
    <t>Agent/User Group targeting for Daily programs.</t>
  </si>
  <si>
    <t>UI Note 6 (transfer selection)</t>
  </si>
  <si>
    <t>RBMP-089 … RBMP-097</t>
  </si>
  <si>
    <t>Tab guide</t>
  </si>
  <si>
    <t>Roles required</t>
  </si>
  <si>
    <t>REQ-B7</t>
  </si>
  <si>
    <t>Super Admin and Admin test accounts with access to Rebate Management; Agent and ordinary-user accounts for negative access-control checks.</t>
  </si>
  <si>
    <t>Game-category rebate rate table for Daily programs.</t>
  </si>
  <si>
    <t>RBMP-098 … RBMP-105</t>
  </si>
  <si>
    <t>Does toggling the type-level Global Status to Inactive override/suspend every program of that type regardless of its own Status, or is it purely informational?</t>
  </si>
  <si>
    <t>REQ-B8</t>
  </si>
  <si>
    <t>Daily settlement processing.</t>
  </si>
  <si>
    <t>Changes the expected result of the global-status test case and downstream settlement behavior.</t>
  </si>
  <si>
    <t>RBMP-010</t>
  </si>
  <si>
    <t>In scope</t>
  </si>
  <si>
    <t>RBMP-106 … RBMP-111</t>
  </si>
  <si>
    <t>Covered — pending AQ-03, AQ-08</t>
  </si>
  <si>
    <t>AQ-02</t>
  </si>
  <si>
    <t>Rebate program list for both types and its Modify/Delete actions; type-level global settings (Min Claim/Release/Expire Time/Status); Create and Modify for Real-time and Daily programs; Agent/User Group targeting and type-scoped duplicate-pairing validation; the auto-populated game-category rebate-rate table; Real-time vs. Daily settlement processing; role-based access; English/Chinese localization; regression against the prior single-program rebate behavior.</t>
  </si>
  <si>
    <t>Min Claim semantics</t>
  </si>
  <si>
    <t>REQ-C1</t>
  </si>
  <si>
    <t>Does a calculated rebate below the Real-time Min Claim threshold get withheld, rolled over to the next period, or forfeited entirely?</t>
  </si>
  <si>
    <t>Cross-type behavior — tab-switch filter persistence, global settings independence, cross-type pairing reuse.</t>
  </si>
  <si>
    <t>Determines the expected result of the sub-threshold settlement test case.</t>
  </si>
  <si>
    <t>UI Note 3/6 + Doc §1 Objective</t>
  </si>
  <si>
    <t>RBMP-052, RBMP-008</t>
  </si>
  <si>
    <t>RBMP-112 … RBMP-114</t>
  </si>
  <si>
    <t>Scope, environment, roles, entry/exit criteria, and a live execution dashboard.</t>
  </si>
  <si>
    <t>AQ-03</t>
  </si>
  <si>
    <t>Daily Release/Expire Time boundary</t>
  </si>
  <si>
    <t>REQ-C2</t>
  </si>
  <si>
    <t>Is the exact Expire Time instant still inside the claim window (inclusive) or already past it (exclusive)?</t>
  </si>
  <si>
    <t>Role-based access to Rebate program management.</t>
  </si>
  <si>
    <t>Inferred from existing UNCS role model</t>
  </si>
  <si>
    <t>Out of scope (assumed)</t>
  </si>
  <si>
    <t>Determines the expected result of the boundary-timing test cases.</t>
  </si>
  <si>
    <t>Assumptions &amp; Open Qs</t>
  </si>
  <si>
    <t>RBMP-115 … RBMP-119</t>
  </si>
  <si>
    <t>RBMP-108, RBMP-063</t>
  </si>
  <si>
    <t>Covered — pending AQ-10</t>
  </si>
  <si>
    <t>The member-facing claim UI itself, if a manual claim step exists beyond automatic settlement; the underlying turnover/loss calculation engine internals; Agent/User Group creation (covered by their own modules).</t>
  </si>
  <si>
    <t>14 items that could not be confirmed from the partially-accessible source doc — resolve these before treating results as final.</t>
  </si>
  <si>
    <t>AQ-04</t>
  </si>
  <si>
    <t>REQ-C3</t>
  </si>
  <si>
    <t>Program Name uniqueness scope</t>
  </si>
  <si>
    <t>Must Program Name be unique overall, unique per rebate type, or not enforced at all?</t>
  </si>
  <si>
    <t>RTM</t>
  </si>
  <si>
    <t>Changes the expected result of the duplicate-name test case.</t>
  </si>
  <si>
    <t>Maps each requirement to the test cases that cover it.</t>
  </si>
  <si>
    <t>RBMP-020 (Real-time), RBMP-075 (Daily)</t>
  </si>
  <si>
    <t>AQ-05</t>
  </si>
  <si>
    <t>Deleting an Active program</t>
  </si>
  <si>
    <t>Test Cases</t>
  </si>
  <si>
    <t>Entry criteria</t>
  </si>
  <si>
    <t>Is deleting a currently Active rebate program allowed outright, gated behind an extra warning given in-flight settlement, or blocked until deactivated first?</t>
  </si>
  <si>
    <t>Feature deployed to the test environment; at least two Agent groups and two User Groups pre-configured; test accounts able to generate qualifying game activity for settlement testing.</t>
  </si>
  <si>
    <t>Materially changes the expected result — this has real settlement/payout implications.</t>
  </si>
  <si>
    <t>RBMP-031 (Real-time), RBMP-086 (Daily)</t>
  </si>
  <si>
    <r>
      <rPr>
        <rFont val="Arial"/>
        <color theme="1"/>
        <sz val="10.0"/>
      </rPr>
      <t>Bilingual (English/</t>
    </r>
    <r>
      <rPr>
        <rFont val="Noto Sans CJK SC"/>
        <color theme="1"/>
        <sz val="10.0"/>
      </rPr>
      <t>中文</t>
    </r>
    <r>
      <rPr>
        <rFont val="Arial"/>
        <color theme="1"/>
        <sz val="10.0"/>
      </rPr>
      <t>) UI text and system messages.</t>
    </r>
  </si>
  <si>
    <t>127 test cases, ordered Real-time Rebate first, then Daily Rebate, then shared/cross-cutting concerns (Access Control, Localization, Regression). Generic mechanics that apply to both types (Modify, Delete, Group Targeting, the rate table, and several List/Create checks) are mirrored once per type so each block reads as a complete, standalone suite — e.g. "A1. Real-time Rebate Program List" then, later, "B1. Daily Rebate Program List". Each row: Test Scenario / Test Case / Pre-Condition / Test Steps / Test Data / Expected Results / Post Condition / Actual Result / Status(Pass/Fail) / Important Level / Version / Last Update / Case Type.</t>
  </si>
  <si>
    <t>AQ-06</t>
  </si>
  <si>
    <t>Doc title is bilingual</t>
  </si>
  <si>
    <t>Maximum rebate rate &amp; decimal precision</t>
  </si>
  <si>
    <t>RBMP-120 … RBMP-123</t>
  </si>
  <si>
    <t>Covered — pending AQ-14</t>
  </si>
  <si>
    <t>Is there a documented ceiling per game category (e.g. cannot exceed 100%), and how many decimal places are supported and stored?</t>
  </si>
  <si>
    <t>Needed for exact pass/fail thresholds on the rebate-rate boundary tests.</t>
  </si>
  <si>
    <t>REQ-C4</t>
  </si>
  <si>
    <t>RBMP-048/RBMP-103 (max rate), RBMP-049/RBMP-104 (decimal precision)</t>
  </si>
  <si>
    <t>Multi-program enhancement must not break existing single-program rebate data or behavior.</t>
  </si>
  <si>
    <t>AQ-07</t>
  </si>
  <si>
    <t>RBMP-124 … RBMP-127</t>
  </si>
  <si>
    <t>Exit criteria</t>
  </si>
  <si>
    <t>Covered — pending AQ-12</t>
  </si>
  <si>
    <t>Structure behind "all 56 games"</t>
  </si>
  <si>
    <t>All High-priority test cases executed and passed, particularly around settlement accuracy; every item in "Assumptions &amp; Open Qs" resolved or explicitly accepted; no open High-severity defects.</t>
  </si>
  <si>
    <t>Does 56 refer to individual game titles auto-mapped under the visible categories, or 56 category rows? The captures show roughly 6-7 category rows (Live Casino, Slot, Sportsbook, Fishing, eSports, Lottery).</t>
  </si>
  <si>
    <t>Source-access note</t>
  </si>
  <si>
    <t>Needed to confirm the expected table contents precisely.</t>
  </si>
  <si>
    <t>RBMP-043 (Real-time), RBMP-098 (Daily)</t>
  </si>
  <si>
    <t>AQ-08</t>
  </si>
  <si>
    <t>Sub-threshold / cross-period rollover</t>
  </si>
  <si>
    <t>When a calculated rebate falls below Min Claim (Real-time) or right at a Daily cutover, does any amount roll into the next period, or reset to zero?</t>
  </si>
  <si>
    <t>Affects settlement-accuracy expectations broadly.</t>
  </si>
  <si>
    <t>RBMP-052, RBMP-108</t>
  </si>
  <si>
    <t>Test types covered</t>
  </si>
  <si>
    <t>AQ-09</t>
  </si>
  <si>
    <t>Only a short preview of the linked Google Doc could be retrieved — the Objective sentence, cut off partway through — since the full body requires sign-in and isn't reachable via the Google Drive connection linked to this workspace. The Figma connector was also unavailable (the connected account's View seat had hit its MCP tool-call limit on the Professional plan). This suite was built from the Objective sentence plus six manually-captured UI screenshots the requester attached directly. Anything not confirmable from those sources is logged in "Assumptions &amp; Open Qs" rather than guessed at.</t>
  </si>
  <si>
    <t>Functional, Negative, Boundary, Integration, Access Control, Localization, Regression.</t>
  </si>
  <si>
    <t>Per-tab filter/search persistence</t>
  </si>
  <si>
    <t>Does the search/status filter reset when switching between the Real-time and Daily tabs, or is it remembered independently per tab?</t>
  </si>
  <si>
    <t>Changes the expected result of the tab-switch UI test case.</t>
  </si>
  <si>
    <t>RBMP-112</t>
  </si>
  <si>
    <t>AQ-10</t>
  </si>
  <si>
    <t>Role permission matrix</t>
  </si>
  <si>
    <t>Does the Admin role have the same rights as Super Admin for Rebate program management, or a restricted subset (e.g. no Delete)?</t>
  </si>
  <si>
    <t>Affects the precise expected result of every Access-control test case.</t>
  </si>
  <si>
    <t>RBMP-116</t>
  </si>
  <si>
    <t>AQ-11</t>
  </si>
  <si>
    <t>"Default" User Group semantics</t>
  </si>
  <si>
    <t>What does selecting "Default" as a User Group actually target (e.g. users not otherwise grouped)?</t>
  </si>
  <si>
    <t>Execution Dashboard (updates automatically from the Test Cases tab)</t>
  </si>
  <si>
    <t>Affects the expected result and duplicate-check correctness for that selection.</t>
  </si>
  <si>
    <t>How to execute</t>
  </si>
  <si>
    <t>RBMP-042 (Real-time), RBMP-097 (Daily)</t>
  </si>
  <si>
    <t>1.</t>
  </si>
  <si>
    <t>AQ-12</t>
  </si>
  <si>
    <t>Legacy single-program migration path</t>
  </si>
  <si>
    <t>How exactly does an existing single-config rebate merchant transition into the new multi-program, dual-type (Real-time/Daily) model?</t>
  </si>
  <si>
    <t>Determines the setup steps and expected result for the regression suite.</t>
  </si>
  <si>
    <t>RBMP-124, RBMP-125</t>
  </si>
  <si>
    <t>AQ-13</t>
  </si>
  <si>
    <t>Mid-cycle rate changes</t>
  </si>
  <si>
    <t>When a program's game-category rate is changed, does it apply only going forward, or could it retroactively affect an in-progress but not-yet-settled period?</t>
  </si>
  <si>
    <t>Determines the expected result of the rate-edit test case.</t>
  </si>
  <si>
    <t>RBMP-050 (Real-time), RBMP-105 (Daily)</t>
  </si>
  <si>
    <t>AQ-14</t>
  </si>
  <si>
    <t>Metric</t>
  </si>
  <si>
    <t>Full bilingual copy</t>
  </si>
  <si>
    <t>Test cases are grouped under numbered section banners (e.g. "1. PRIZE POOL SETUP") matching the module structure — scroll or use the AutoFilter on the header row.</t>
  </si>
  <si>
    <t>Only the error banner and screen titles were visible in Chinese in the captures; the doc's remaining sections likely hold the final approved copy for every label and message.</t>
  </si>
  <si>
    <t>Needed to build copy-exact localization test data instead of a structural check only.</t>
  </si>
  <si>
    <t>RBMP-121, RBMP-122</t>
  </si>
  <si>
    <t>2.</t>
  </si>
  <si>
    <t>Fill in Actual Result with what actually happened; Post Condition is there to confirm the resulting system state matched expectations too.</t>
  </si>
  <si>
    <t>3.</t>
  </si>
  <si>
    <t>Set Status via the dropdown: Pass or Fail. Leave it blank until the case has actually been run.</t>
  </si>
  <si>
    <t>Count</t>
  </si>
  <si>
    <t>4.</t>
  </si>
  <si>
    <t>Version starts at v1.0 for this whole suite; bump it if you revise a case after a spec change. Last Update is stamped to the date each case was authored/last revised.</t>
  </si>
  <si>
    <t>Total test cases</t>
  </si>
  <si>
    <t>5.</t>
  </si>
  <si>
    <t>The Test Plan Summary tab's dashboard totals update automatically as Status is filled in.</t>
  </si>
  <si>
    <t>6.</t>
  </si>
  <si>
    <t>Prioritize the Settlement Processing and Game-Category Rebate Rate Table sections early — they're the most financially sensitive and have the most open Assumptions riding on them.</t>
  </si>
  <si>
    <t>Legend</t>
  </si>
  <si>
    <t>Important Level</t>
  </si>
  <si>
    <t>High</t>
  </si>
  <si>
    <t>Passed</t>
  </si>
  <si>
    <t>Medium</t>
  </si>
  <si>
    <t>Failed</t>
  </si>
  <si>
    <t>Low</t>
  </si>
  <si>
    <t>Not run</t>
  </si>
  <si>
    <t>High-priority cases</t>
  </si>
  <si>
    <t>Project Name</t>
  </si>
  <si>
    <t>Admin Weibo</t>
  </si>
  <si>
    <t>Pass</t>
  </si>
  <si>
    <t>Test cases</t>
  </si>
  <si>
    <t>Module Name</t>
  </si>
  <si>
    <t>Rebate management</t>
  </si>
  <si>
    <t>Fail</t>
  </si>
  <si>
    <t>ROW'S COUNT</t>
  </si>
  <si>
    <t xml:space="preserve">Re 100, Bet A 60, A 50 </t>
  </si>
  <si>
    <t>Version</t>
  </si>
  <si>
    <t>V. 3. 16. 0</t>
  </si>
  <si>
    <t>Pending</t>
  </si>
  <si>
    <t xml:space="preserve">A earlier, 40 remaing, then B, 50 - 40 = 10, </t>
  </si>
  <si>
    <t>Created By</t>
  </si>
  <si>
    <t>Am Rithysak / Sengmean</t>
  </si>
  <si>
    <t>TOTAL</t>
  </si>
  <si>
    <t>Date of Creation</t>
  </si>
  <si>
    <t>Date of Review</t>
  </si>
  <si>
    <t>HKD</t>
  </si>
  <si>
    <t>Rebate Program (Multi-Config) — Test Cases</t>
  </si>
  <si>
    <t>TEST CASE ID</t>
  </si>
  <si>
    <t>TEST SCENARIO</t>
  </si>
  <si>
    <t>TEST CASE</t>
  </si>
  <si>
    <t>PRE-CONDITION</t>
  </si>
  <si>
    <t>TEST STEPS</t>
  </si>
  <si>
    <t>TEST DATA</t>
  </si>
  <si>
    <t>EXPECTED RESULTS</t>
  </si>
  <si>
    <t>POST CONDITION</t>
  </si>
  <si>
    <t>ACTUAL RESULT</t>
  </si>
  <si>
    <t>STATUS(PASS/FAIL)</t>
  </si>
  <si>
    <t>VERSION</t>
  </si>
  <si>
    <t>LAST UPDATE</t>
  </si>
  <si>
    <t>CASE TYPE</t>
  </si>
  <si>
    <t>— REAL-TIME REBATE</t>
  </si>
  <si>
    <t>A1. Real-time Rebate Program List</t>
  </si>
  <si>
    <t>RBMP-001</t>
  </si>
  <si>
    <t>Verify Program List functionality for listing only Real-time programs with correct summary data on that tab</t>
  </si>
  <si>
    <t>Real-time tab lists only Real-time programs with correct summary data</t>
  </si>
  <si>
    <t>Logged in to the Weibo Empire admin back-office as Super Admin/Admin with access to Rebate Management &gt; Rebate programs. On the Rebate program setup screen. Real-time rebate tab selected. At least 2 Real-time programs exist.</t>
  </si>
  <si>
    <t>1. Navigate to Rebate Management &gt; Rebate programs.
2. Confirm the Real-time tab is active.
3. Review the program table.</t>
  </si>
  <si>
    <t>2 sample Real-time programs, e.g. "Sample 1", "Sample 2".</t>
  </si>
  <si>
    <t>The table shows Program name, Target Agents, User Groups, Status and Last update for each Real-time program only; no Daily programs appear on this tab.</t>
  </si>
  <si>
    <t>No system state change; the list continues to reflect existing Real-time program data.</t>
  </si>
  <si>
    <t>v2.0</t>
  </si>
  <si>
    <t>Functional</t>
  </si>
  <si>
    <t>RBMP-002</t>
  </si>
  <si>
    <t>Verify Real-time Program List functionality for searching/filtering the list by name or target</t>
  </si>
  <si>
    <t>Search/filter the program list by name or target</t>
  </si>
  <si>
    <t>Logged in to the Weibo Empire admin back-office as Super Admin/Admin with access to Rebate Management &gt; Rebate programs. On the Rebate program setup screen. Real-time rebate tab selected.</t>
  </si>
  <si>
    <t>1. Enter a known program name (or Agent/User Group name) into the search box.
2. Apply the search.</t>
  </si>
  <si>
    <t>Search text matching "Sample 1".</t>
  </si>
  <si>
    <t>Only the matching program(s) are shown; clearing the search restores the full list.</t>
  </si>
  <si>
    <t>No system state change; only the displayed filtered results change.</t>
  </si>
  <si>
    <t>RBMP-003</t>
  </si>
  <si>
    <t>Verify Real-time Program List functionality for filtering by Status — All, Active, or Inactive</t>
  </si>
  <si>
    <t>Filter by Status (All / Active / Inactive)</t>
  </si>
  <si>
    <t>Logged in to the Weibo Empire admin back-office as Super Admin/Admin with access to Rebate Management &gt; Rebate programs. On the Rebate program setup screen. Real-time rebate tab selected. A mix of Active and Inactive programs exist.</t>
  </si>
  <si>
    <t>1. Set the status filter to Active.
2. Set it to Inactive.
3. Set it back to All.</t>
  </si>
  <si>
    <t>Mixed-status program set.</t>
  </si>
  <si>
    <t>Each filter shows only programs matching that status; All shows every program regardless of status.</t>
  </si>
  <si>
    <t>RBMP-004</t>
  </si>
  <si>
    <t>Verify Real-time Program List functionality for opening the correct program pre-filled from Modify</t>
  </si>
  <si>
    <t>Modify action opens the correct program pre-filled</t>
  </si>
  <si>
    <t>1. Click Modify on a specific program row.
2. Compare every field to that program's last-saved configuration.</t>
  </si>
  <si>
    <t>Any existing program with non-default groups and rates.</t>
  </si>
  <si>
    <t>Program Name, Status, Agent groups, User Groups and the game rebate-rate table are all display exactly as last saved.</t>
  </si>
  <si>
    <t>No system state change; the Modify screen simply displays the program's already-saved configuration.</t>
  </si>
  <si>
    <t>RBMP-005</t>
  </si>
  <si>
    <t>Verify Real-time Program List functionality for requiring confirmation before Delete removes a program</t>
  </si>
  <si>
    <t>Delete requires confirmation and removes the program</t>
  </si>
  <si>
    <t>1. Click Delete on a program row.
2. Observe the confirmation prompt.
3. Click Cancel, then repeat and Confirm.</t>
  </si>
  <si>
    <t>Any existing test program.</t>
  </si>
  <si>
    <t>1. Cancelling leaves the program untouched; 
2. Confirming removes it from the list.</t>
  </si>
  <si>
    <t>The program is removed from the system if confirmed, or remains untouched if cancelled.</t>
  </si>
  <si>
    <t>RBMP-006</t>
  </si>
  <si>
    <t>Verify Real-time Program List functionality for paginating the list</t>
  </si>
  <si>
    <t>Pagination on the program list</t>
  </si>
  <si>
    <t>Logged in to the Weibo Empire admin back-office as Super Admin/Admin with access to Rebate Management &gt; Rebate programs. On the Rebate program setup screen. Real-time rebate tab selected. More programs exist than fit on one page.</t>
  </si>
  <si>
    <t>1. Create enough programs to exceed one page.
2. Use Previous/Next to page through the list.</t>
  </si>
  <si>
    <t>More than one page's worth of programs on one tab.</t>
  </si>
  <si>
    <t>"Showing X-Y of Z rebate programs" and page controls stay accurate on every page, independently per tab.</t>
  </si>
  <si>
    <t>No system state change; only the displayed page changes.</t>
  </si>
  <si>
    <t>UI</t>
  </si>
  <si>
    <t>A2. Real-time Global Rebate Settings</t>
  </si>
  <si>
    <t>RBMP-007</t>
  </si>
  <si>
    <t>Verify Global Settings functionality for displaying the current saved Real-time values</t>
  </si>
  <si>
    <t>Real-time global settings display current saved values</t>
  </si>
  <si>
    <t>1. View the Global real-time rebate settings panel.</t>
  </si>
  <si>
    <t>Previously saved Min Claim / Expire Time / Status.</t>
  </si>
  <si>
    <t>Min Claim, Expire Time and Status all reflect the last-saved values.</t>
  </si>
  <si>
    <t>No system state change; displayed values match what was last saved.</t>
  </si>
  <si>
    <t>RBMP-008</t>
  </si>
  <si>
    <t>Verify Global Settings functionality for saving valid changes to the Real-time settings</t>
  </si>
  <si>
    <t>Save valid changes to Real-time global settings</t>
  </si>
  <si>
    <t>1. Change Min Claim and/or Expire Time to valid values.
2. Click Save.</t>
  </si>
  <si>
    <t>Min Claim = 10; Expire Time = 24 (hours).</t>
  </si>
  <si>
    <t>Values persist after a page reload; a Save confirmation is shown.</t>
  </si>
  <si>
    <t>The Real-time global settings are updated and apply to all Real-time programs going forward.</t>
  </si>
  <si>
    <t>RBMP-009</t>
  </si>
  <si>
    <t>Verify Global Settings functionality for rejecting negative or non-numeric input in Real-time Min Claim</t>
  </si>
  <si>
    <t>Real-time Min Claim rejects negative or non-numeric input</t>
  </si>
  <si>
    <t>1. Enter a negative number into Min Claim.
2. Enter non-numeric text into Min Claim.
3. Click Save.</t>
  </si>
  <si>
    <t>-5, "abc".</t>
  </si>
  <si>
    <t>Save is blocked with a validation message for both invalid inputs.</t>
  </si>
  <si>
    <t>The Real-time global settings remain at their last validly saved values.</t>
  </si>
  <si>
    <t>Negative</t>
  </si>
  <si>
    <t>Verify Global Settings functionality for the effect of toggling Real-time global Status to Inactive on all Real-time programs</t>
  </si>
  <si>
    <t>Toggling Real-time global Status to Inactive affects all Real-time programs</t>
  </si>
  <si>
    <t>Logged in to the Weibo Empire admin back-office as Super Admin/Admin with access to Rebate Management &gt; Rebate programs. On the Rebate program setup screen. Real-time rebate tab selected. At least one Active Real-time program exists.</t>
  </si>
  <si>
    <t>1. Set the global Status to Inactive.
2. Save.
3. Check whether the individually-Active Real-time program still functions/settles.</t>
  </si>
  <si>
    <t>Global Status = Inactive.</t>
  </si>
  <si>
    <t>Confirm against AQ-01 whether the global toggle is a master switch overriding per-program Status, or purely informational.</t>
  </si>
  <si>
    <t>System behavior for all Real-time programs matches the confirmed global-override rule (see AQ-01).</t>
  </si>
  <si>
    <t>Integration</t>
  </si>
  <si>
    <t>A3. Create Real-time Rebate Program</t>
  </si>
  <si>
    <t>RBMP-011</t>
  </si>
  <si>
    <t>Verify Create Program functionality for creating a Real-time program with all fields valid</t>
  </si>
  <si>
    <t>Create a Real-time rebate program with all fields valid</t>
  </si>
  <si>
    <t>Logged in to the Weibo Empire admin back-office as Super Admin/Admin with access to Rebate Management &gt; Rebate programs. On the Create Real-time rebate program screen.</t>
  </si>
  <si>
    <t>1. Enter a unique Program Name.
2. Select Agent group(s) and User Group(s) whose pairing isn't used by another Real-time program.
3. Set a rebate rate on at least one game category.
4. Click Submit.</t>
  </si>
  <si>
    <t>Name = "New Real-time Rebate"; LIVE CASINO rate = 0.3%.</t>
  </si>
  <si>
    <t>The program is created and appears on the Real-time tab with the entered data; 
Status defaults to Inactive unless changed.</t>
  </si>
  <si>
    <t>A new Real-time rebate program exists, holding its Agent/User Group pairing(s) against future same-type duplicates.</t>
  </si>
  <si>
    <t>RBMP-012</t>
  </si>
  <si>
    <t>Verify Real-time Create Program functionality for fixing the rebate Type so it cannot be changed on the Create screen</t>
  </si>
  <si>
    <t>A program's rebate Type is fixed and cannot be changed on the Create screen</t>
  </si>
  <si>
    <t>1. Open Create from the Real-time tab and look for any control to change the program's type.
2. Repeat by opening Create from the Daily tab.</t>
  </si>
  <si>
    <t>N/A.</t>
  </si>
  <si>
    <t>No control exists to change type; a Real-time program can only be created from the Real-time tab's Create action, and likewise for Daily.</t>
  </si>
  <si>
    <t>No system state change; only the absence of a type-change control is verified.</t>
  </si>
  <si>
    <t>RBMP-013</t>
  </si>
  <si>
    <t>Verify Real-time Create Program functionality for attempting to create a program with an empty Program Name</t>
  </si>
  <si>
    <t>Attempt to create a program with an empty Program Name</t>
  </si>
  <si>
    <t>1. Leave Program Name blank.
2. Complete the rest validly.
3. Click Submit.</t>
  </si>
  <si>
    <t>Name = "".</t>
  </si>
  <si>
    <t>Submit is blocked with a required-field message; no program is added.</t>
  </si>
  <si>
    <t>No new program is created; the program list is unchanged.</t>
  </si>
  <si>
    <t>RBMP-014</t>
  </si>
  <si>
    <t>Verify Real-time Create Program functionality for attempting to create a program with no Agent group or no User Group selected</t>
  </si>
  <si>
    <t>Attempt to create a program with no Agent group or no User Group selected</t>
  </si>
  <si>
    <t>1. Leave the Agent group Selected column empty (or the User Group Selected column empty).
2. Click Submit.</t>
  </si>
  <si>
    <t>0 Agent groups selected.</t>
  </si>
  <si>
    <t>Submit is blocked; the documented rule states every program must contain at least one Target Agent and one User Group.</t>
  </si>
  <si>
    <t>Require atlease one of pair group for one program</t>
  </si>
  <si>
    <t>RBMP-015</t>
  </si>
  <si>
    <t>Verify Real-time Create Program functionality for blocking creation when the pairing duplicates another program of the same type</t>
  </si>
  <si>
    <t>Create is blocked when the pairing duplicates another program of the SAME type</t>
  </si>
  <si>
    <t>Logged in to the Weibo Empire admin back-office as Super Admin/Admin with access to Rebate Management &gt; Rebate programs. On the Create Real-time rebate program screen. Another Active Real-time program already uses the target pairing.</t>
  </si>
  <si>
    <t>1. Select Agent/User Group matching an existing Real-time program's pairing.
2. Click Submit.</t>
  </si>
  <si>
    <t>Pairing already used by an existing Real-time program.</t>
  </si>
  <si>
    <t>Submit is blocked with "Target Agent and User Group duplicate to other program"; no partial program is created.</t>
  </si>
  <si>
    <t>No new program is created; the pre-existing conflicting program's pairing is untouched.</t>
  </si>
  <si>
    <t>RBMP-016</t>
  </si>
  <si>
    <t>Verify Real-time Create Program functionality for succeeding on resubmission after correcting a flagged duplicate-pairing conflict</t>
  </si>
  <si>
    <t>Resubmitting after correcting a flagged duplicate-pairing conflict succeeds</t>
  </si>
  <si>
    <t>Continuing directly from a blocked Real-time submission due to a duplicate-pairing conflict.</t>
  </si>
  <si>
    <t>1. Change only the conflicting group selection.
2. Click Submit again.</t>
  </si>
  <si>
    <t>Deselect the conflicting User Group only.</t>
  </si>
  <si>
    <t>Program Name and entered rates are preserved; Submit now succeeds.</t>
  </si>
  <si>
    <t>A new program now exists with the corrected pairing; the previously conflicting program is unaffected.</t>
  </si>
  <si>
    <t>RBMP-017</t>
  </si>
  <si>
    <t>Verify Real-time Create Program functionality for defaulting a new program to Inactive regardless of entered data</t>
  </si>
  <si>
    <t>New program defaults to Inactive regardless of entered data</t>
  </si>
  <si>
    <t>1. Complete the form without touching Status.
2. Submit.</t>
  </si>
  <si>
    <t>Status left untouched.</t>
  </si>
  <si>
    <t>The created program shows Status = Inactive in the list, consistent with the documented default.</t>
  </si>
  <si>
    <t>The new program exists with Status = Inactive until explicitly activated.</t>
  </si>
  <si>
    <t>RBMP-018</t>
  </si>
  <si>
    <t>Verify Real-time Create Program functionality for honoring an explicitly-set Active status on create</t>
  </si>
  <si>
    <t>Explicitly setting Status = Active on create is honored</t>
  </si>
  <si>
    <t>1. Change Status to Active before submitting.
2. Submit.</t>
  </si>
  <si>
    <t>Status = Active.</t>
  </si>
  <si>
    <t>The created program shows Status = Active in the list.</t>
  </si>
  <si>
    <t>The new program exists with Status = Active.</t>
  </si>
  <si>
    <t>RBMP-019</t>
  </si>
  <si>
    <t>Verify Real-time Create Program functionality for discarding a partially-completed form on Cancel</t>
  </si>
  <si>
    <t>Cancel discards a partially-completed Create form</t>
  </si>
  <si>
    <t>1. Fill in several fields.
2. Click Cancel.</t>
  </si>
  <si>
    <t>Any partial entry.</t>
  </si>
  <si>
    <t>No program is created; the Program list is unchanged.</t>
  </si>
  <si>
    <t>RBMP-020</t>
  </si>
  <si>
    <t>Verify Real-time Create Program functionality for handling a Program Name identical to an existing program</t>
  </si>
  <si>
    <t>Create a program using a Program Name identical to an existing program</t>
  </si>
  <si>
    <t>Logged in to the Weibo Empire admin back-office as Super Admin/Admin with access to Rebate Management &gt; Rebate programs. On the Create Real-time rebate program screen. Another program already uses the name being entered.</t>
  </si>
  <si>
    <t>1. Enter a Program Name that exactly matches an existing program (same or other type).
2. Complete the rest validly.
3. Click Submit.</t>
  </si>
  <si>
    <t>Name = an existing program's exact name.</t>
  </si>
  <si>
    <t>System block, and show an error message</t>
  </si>
  <si>
    <t xml:space="preserve">System state the name as uniqueness rule </t>
  </si>
  <si>
    <t>RBMP-021</t>
  </si>
  <si>
    <t>Verify Real-time Create Program functionality for handling boundary input in the Program Name field, including very long text and special characters</t>
  </si>
  <si>
    <t>Program Name field boundary — very long text and special characters</t>
  </si>
  <si>
    <t>1. Enter a name at/above the expected character limit, including special characters/emoji.
2. Submit.</t>
  </si>
  <si>
    <t>200 character string with symbols and emoji.</t>
  </si>
  <si>
    <t>The field enforces a sensible maximum length and does not break the program list layout.</t>
  </si>
  <si>
    <t>Either a program with a safely-truncated name exists, or none was created if the input was rejected outright.</t>
  </si>
  <si>
    <t>Boundary</t>
  </si>
  <si>
    <t>A4. Modify Real-time Rebate Program</t>
  </si>
  <si>
    <t>RBMP-022</t>
  </si>
  <si>
    <t>Verify Real-time Modify Program functionality for saving a change to Program Name</t>
  </si>
  <si>
    <t>Modify and save a change to Program Name</t>
  </si>
  <si>
    <t>Logged in to the Weibo Empire admin back-office as Super Admin/Admin with access to Rebate Management &gt; Rebate programs. Modifying an existing Real-time rebate program.</t>
  </si>
  <si>
    <t>1. Open Modify on an existing program.
2. Change the name.
3. Click Update.</t>
  </si>
  <si>
    <t>New unique name.</t>
  </si>
  <si>
    <t>The list reflects the new name.</t>
  </si>
  <si>
    <t>The program's name is updated everywhere it is referenced.</t>
  </si>
  <si>
    <t>RBMP-023</t>
  </si>
  <si>
    <t>Verify Real-time Modify Program functionality for toggling a program's Status between Active and Inactive</t>
  </si>
  <si>
    <t>Toggle a program's Status between Active and Inactive</t>
  </si>
  <si>
    <t>1. Change Status.
2. Click Update.</t>
  </si>
  <si>
    <t>Toggle Active &lt;-&gt; Inactive.</t>
  </si>
  <si>
    <t>The list reflects the new Status immediately.</t>
  </si>
  <si>
    <t>The program's Status matches the newly saved value.</t>
  </si>
  <si>
    <t>RBMP-024</t>
  </si>
  <si>
    <t>Verify Real-time Modify Program functionality for blocking a pairing change to one already used by another program of the same type</t>
  </si>
  <si>
    <t>Modify the pairing to one already used by another program of the same type</t>
  </si>
  <si>
    <t>Logged in to the Weibo Empire admin back-office as Super Admin/Admin with access to Rebate Management &gt; Rebate programs. Modifying an existing Real-time rebate program. Another program of the same type already owns the target pairing.</t>
  </si>
  <si>
    <t>1. Change the group selection to duplicate another same-type program's pairing.
2. Click Update.</t>
  </si>
  <si>
    <t>Target pairing already in use.</t>
  </si>
  <si>
    <t>Update is blocked with the duplicate-pairing error; unrelated field edits are preserved for correction.</t>
  </si>
  <si>
    <t>The program's pairing remains at its last saved value; the conflicting program elsewhere is unaffected.</t>
  </si>
  <si>
    <t>RBMP-025</t>
  </si>
  <si>
    <t>Verify Real-time Modify Program functionality for saving unrelated field changes while leaving the program's own pairing unchanged</t>
  </si>
  <si>
    <t>Modify unrelated fields while leaving the program's own pairing unchanged</t>
  </si>
  <si>
    <t>1. Change only a game category's rebate rate.
2. Leave the groups unchanged.
3. Click Update.</t>
  </si>
  <si>
    <t>Change one rate value.</t>
  </si>
  <si>
    <t>Update succeeds; the program's own unchanged pairing is not flagged as a conflict against itself.</t>
  </si>
  <si>
    <t>The program's rebate rate is updated; its Agent/User Group pairing remains exactly as before.</t>
  </si>
  <si>
    <t>RBMP-026</t>
  </si>
  <si>
    <t>Verify Real-time Modify Program functionality for changing a game category's rebate rate</t>
  </si>
  <si>
    <t>Change a game category's rebate rate</t>
  </si>
  <si>
    <t>1. Change one category's rate, e.g. SLOT from 1.2% to 1.5%.
2. Click Update.</t>
  </si>
  <si>
    <t>SLOT 1.2% -&gt; 1.5%.</t>
  </si>
  <si>
    <t>The new rate saves and is reflected for future settlement calculations.</t>
  </si>
  <si>
    <t>The program's game-category rate reflects the new value for future settlement calculations.</t>
  </si>
  <si>
    <t>RBMP-027</t>
  </si>
  <si>
    <t>Verify Real-time Modify Program functionality for setting a game category's rate to 0%</t>
  </si>
  <si>
    <t>Set a game category's rate to 0%</t>
  </si>
  <si>
    <t>1. Set one category's rate to 0%.
2. Click Update.</t>
  </si>
  <si>
    <t>One category = 0%.</t>
  </si>
  <si>
    <t>Saves successfully; per the documented rule, 0% means that category earns no rebate going forward.</t>
  </si>
  <si>
    <t>The program's game-category rate is saved at 0%, earning no rebate for that category going forward.</t>
  </si>
  <si>
    <t>RBMP-028</t>
  </si>
  <si>
    <t>Verify Real-time Modify Program functionality for blocking a rebate Type change during Modify</t>
  </si>
  <si>
    <t>Attempt to change a program's rebate Type during Modify</t>
  </si>
  <si>
    <t>1. Look for any way to switch the program between Real-time and Daily while modifying it.
2. Enter program name that is existing in other program already</t>
  </si>
  <si>
    <t>Should allow to modify with same program name of different rebate type (real-time / daily)</t>
  </si>
  <si>
    <t>System should not block the change</t>
  </si>
  <si>
    <t>RBMP-029</t>
  </si>
  <si>
    <t>Verify Real-time Modify Program functionality for succeeding on Update when no changes were made</t>
  </si>
  <si>
    <t>Open Modify and click Update with no changes made</t>
  </si>
  <si>
    <t>1. Open Modify on an existing program.
2. Click Update immediately without changing anything.</t>
  </si>
  <si>
    <t>No changes.</t>
  </si>
  <si>
    <t>Update succeeds without error since nothing was modified.</t>
  </si>
  <si>
    <t>The program's configuration is unchanged, since nothing was modified.</t>
  </si>
  <si>
    <t>A5. Delete Real-time Rebate Program</t>
  </si>
  <si>
    <t>RBMP-030</t>
  </si>
  <si>
    <t>Verify Real-time Delete Program functionality for deleting a program that is not currently Active</t>
  </si>
  <si>
    <t>Delete a program that is not currently Active</t>
  </si>
  <si>
    <t>Logged in to the Weibo Empire admin back-office as Super Admin/Admin with access to Rebate Management &gt; Rebate programs. On the Rebate program setup screen. Real-time rebate tab selected. An Inactive test program exists.</t>
  </si>
  <si>
    <t>1. Click Delete on the Inactive program.
2. Confirm.</t>
  </si>
  <si>
    <t>An Inactive test program.</t>
  </si>
  <si>
    <t>Showing confirmation dialog form to delete the program. Click confirm to deleted program
The program is removed from the list without error.</t>
  </si>
  <si>
    <t>The program no longer exists in the system.</t>
  </si>
  <si>
    <t>RBMP-031</t>
  </si>
  <si>
    <t>Verify Real-time Delete Program functionality for handling deletion of a currently Active program</t>
  </si>
  <si>
    <t>Delete a currently Active program</t>
  </si>
  <si>
    <t>Logged in to the Weibo Empire admin back-office as Super Admin/Admin with access to Rebate Management &gt; Rebate programs. On the Rebate program setup screen. Real-time rebate tab selected. An Active test program exists.</t>
  </si>
  <si>
    <t>1. Click Delete on the Active program.
2. Confirm.</t>
  </si>
  <si>
    <t xml:space="preserve">An Active test program with a non-zero rate.
1. generated rebate claim
2. un-generated rebate claim </t>
  </si>
  <si>
    <t>Deleted program and hide from program list page 
- Side affected to be consider: 
1. Generated rebate claim is keeping un-changed.
2. Un-generated rebate claim should be affected, after get result betting</t>
  </si>
  <si>
    <t>- 1. No affected for generated claim.
- 2. Not yet generate bet result (Admin deleted / disable before result out) ?</t>
  </si>
  <si>
    <t>RBMP-032</t>
  </si>
  <si>
    <t>Verify Real-time Delete Program functionality for releasing a deleted program's pairing for reuse within the same type</t>
  </si>
  <si>
    <t>A deleted program's pairing becomes available for reuse within the same type</t>
  </si>
  <si>
    <t>1. Note a program's Agent+User Group pairing.
2. Delete that program.
3. Attempt to create a new same-type program with the identical pairing.</t>
  </si>
  <si>
    <t>Pairing = Agent B + User Group B.</t>
  </si>
  <si>
    <t>The new program can now use that pairing without triggering the duplicate-pairing error.</t>
  </si>
  <si>
    <t>The new program now holds the previously-used pairing; no program retains the old deleted one.</t>
  </si>
  <si>
    <t>RBMP-033</t>
  </si>
  <si>
    <t>Verify Real-time Delete Program functionality for allowing the delete confirmation to be cancelled</t>
  </si>
  <si>
    <t>Delete confirmation can be cancelled</t>
  </si>
  <si>
    <t>1. Click Delete on a program.
2. Click Cancel on the confirmation prompt.</t>
  </si>
  <si>
    <t>Any existing program.</t>
  </si>
  <si>
    <t>The program remains untouched in the list.</t>
  </si>
  <si>
    <t>The program remains in the system, fully unchanged.</t>
  </si>
  <si>
    <t>A6. Real-time Agent/User Group Targeting</t>
  </si>
  <si>
    <t>RBMP-034</t>
  </si>
  <si>
    <t>Verify Real-time Group Targeting functionality for moving every available Agent into Selected via Select all</t>
  </si>
  <si>
    <t>"Select all" (&gt;&gt;) moves every available Agent into Selected
and select 'Default value' of Member group</t>
  </si>
  <si>
    <t xml:space="preserve">1. Click &gt;&gt; above the Agent group Available list.
2. Click &gt; Default one of Member Group
3. Click 'Submit' </t>
  </si>
  <si>
    <t>All available Agent groups.</t>
  </si>
  <si>
    <t>Every available Agent group moves to Selected; individual items can still be removed afterward.
- Default value of Member group move to Selected,  individual items can still be removed afterward
=&gt; Submit succeed</t>
  </si>
  <si>
    <t>Every previously-available Agent group is now in the Selected column, pending Submit.</t>
  </si>
  <si>
    <t>RBMP-034-1</t>
  </si>
  <si>
    <t>Select  any available Agent group and select 'Default value' of Member group</t>
  </si>
  <si>
    <t>- dupplicate pair validation</t>
  </si>
  <si>
    <t xml:space="preserve">1. Click &gt; above Agent group list.
2. Click &gt; Default one of Member Group
3. Click 'Submit' </t>
  </si>
  <si>
    <t xml:space="preserve">&lt;&lt;- test data -&gt;&gt;
- Agent group: any available item
- Member group: 'Default' </t>
  </si>
  <si>
    <t>System is blocked with the duplicate-pairing error; unrelated field edits are preserved for correction.</t>
  </si>
  <si>
    <t>Not allow dupplicat of pair</t>
  </si>
  <si>
    <t>RBMP-034-2</t>
  </si>
  <si>
    <t>Select (&gt;) OR (&gt;&gt;) on any available Agent group 
and select  != 'Default' value' of Member group</t>
  </si>
  <si>
    <t>- Not dupplicate selected pair of  Agent and member group</t>
  </si>
  <si>
    <t xml:space="preserve">1. Click &gt; or &gt;&gt; above Agent group list.
2. Click &gt; above Member Group
3. Click 'Submit' </t>
  </si>
  <si>
    <t xml:space="preserve">&lt;&lt;- test data -&gt;&gt;
- Agent group: any available item
- Member group: != 'Default' </t>
  </si>
  <si>
    <t>- No block by system</t>
  </si>
  <si>
    <t>RBMP-035</t>
  </si>
  <si>
    <t>Verify Real-time Group Targeting functionality for moving a single Agent using the arrow controls</t>
  </si>
  <si>
    <t>Move a single Agent using -&gt; and remove using &lt;-</t>
  </si>
  <si>
    <t>1. Select one Agent group in Available and click -&gt;.
2. Select it in Selected and click &lt;-.</t>
  </si>
  <si>
    <t>Any single Agent group.</t>
  </si>
  <si>
    <t>The item moves correctly in both directions and Selected always matches what will be submitted.</t>
  </si>
  <si>
    <t>The Selected column matches exactly what was moved, pending Submit.</t>
  </si>
  <si>
    <t>RBMP-036</t>
  </si>
  <si>
    <t>Verify Real-time Group Targeting functionality for clearing all Selected Agents using the clear-all control</t>
  </si>
  <si>
    <t>Clear all Selected Agents using &lt;&lt;</t>
  </si>
  <si>
    <t>Logged in to the Weibo Empire admin back-office as Super Admin/Admin with access to Rebate Management &gt; Rebate programs. On the Create Real-time rebate program screen. Several Agent groups already Selected.</t>
  </si>
  <si>
    <t>1. Click &lt;&lt;.</t>
  </si>
  <si>
    <t>Multiple Selected Agent groups.</t>
  </si>
  <si>
    <t>All Selected Agent groups return to Available; the Selected list becomes empty.</t>
  </si>
  <si>
    <t>The Agent group Selected column is empty, pending Submit.</t>
  </si>
  <si>
    <t>RBMP-037</t>
  </si>
  <si>
    <t>Verify Real-time Group Targeting functionality for matching the same transfer-selection behavior on the User Group control</t>
  </si>
  <si>
    <t>Same transfer-selection behavior verified for the User Group control</t>
  </si>
  <si>
    <t>1. Repeat Select all, single move, and clear-all for the User Group control.</t>
  </si>
  <si>
    <t>Same as TC-GRP-001..003, applied to User Group.</t>
  </si>
  <si>
    <t>Identical behavior to the Agent group control.</t>
  </si>
  <si>
    <t>No system state change; only control behavior parity is verified.</t>
  </si>
  <si>
    <t>RBMP-038</t>
  </si>
  <si>
    <t>Verify Real-time Group Targeting functionality for triggering duplicate-pairing validation on Submit/Update</t>
  </si>
  <si>
    <t>Duplicate-pairing validation triggers on Submit for Create, and on Update for Modify</t>
  </si>
  <si>
    <t>Logged in to the Weibo Empire admin back-office as Super Admin/Admin with access to Rebate Management &gt; Rebate programs. On either the Create Real-time or Modify screen for a Real-time program.</t>
  </si>
  <si>
    <t>1. Configure a conflicting pairing on Create; note when the error appears.
2. Repeat on Modify, checking the error appears on Update.</t>
  </si>
  <si>
    <t>A conflicting pairing in both flows.</t>
  </si>
  <si>
    <t>The duplicate check runs at submit time in both flows (not as selections are made), consistent with the documented behavior.</t>
  </si>
  <si>
    <t>No system state change; only the timing of the validation trigger is verified.</t>
  </si>
  <si>
    <t>RBMP-039</t>
  </si>
  <si>
    <t>Verify Real-time Group Targeting functionality for checking the full generated cross-product of Agents and User Groups on Submit</t>
  </si>
  <si>
    <t>Multiple Agents x multiple User Groups generates a full cross-product, all checked on Submit</t>
  </si>
  <si>
    <t>Logged in to the Weibo Empire admin back-office as Super Admin/Admin with access to Rebate Management &gt; Rebate programs. On the Create Real-time rebate program screen. At least two Agent groups and two User Groups are configured in the system.</t>
  </si>
  <si>
    <t>1. Select 3 Agent groups and 2 User Groups (6 generated pairings), where exactly 1 of the 6 already exists on another same-type program.
2. Click Submit.</t>
  </si>
  <si>
    <t>6 generated pairings; 1 pre-existing conflict.</t>
  </si>
  <si>
    <t>The entire Submit is rejected — none of the 6 pairings are partially saved — and the error identifies only the conflicting pairing.</t>
  </si>
  <si>
    <t>No program is created; none of the 6 generated pairings are reserved by the attempted submission.</t>
  </si>
  <si>
    <t>RBMP-040</t>
  </si>
  <si>
    <t>Verify Real-time Group Targeting functionality for not self-conflicting when editing without changing a program's own pairing</t>
  </si>
  <si>
    <t>Editing without changing a program's own pairing does not self-conflict</t>
  </si>
  <si>
    <t>1. Modify only the rebate rate, leaving groups unchanged.
2. Click Update.</t>
  </si>
  <si>
    <t>Program's existing pairing left untouched.</t>
  </si>
  <si>
    <t>The program's own unchanged pairing is not treated as a duplicate of itself.</t>
  </si>
  <si>
    <t>The program's pairing remains exactly as it was before Update, confirmed as not self-conflicting.</t>
  </si>
  <si>
    <t>RBMP-041</t>
  </si>
  <si>
    <t>Verify Real-time Group Targeting functionality for making a newly created group selectable without a workaround</t>
  </si>
  <si>
    <t>Newly created Agent or User Group appears as selectable without a workaround</t>
  </si>
  <si>
    <t>Logged in to the Weibo Empire admin back-office as Super Admin/Admin with access to Rebate Management &gt; Rebate programs. On the Create Real-time rebate program screen. A new Agent or User Group was just created in its own management module.</t>
  </si>
  <si>
    <t>1. Create a new group elsewhere.
2. Return to Create Rebate Program and check the Available list.</t>
  </si>
  <si>
    <t xml:space="preserve">A newly created group, e.g. "Agent F".
A newly create group, e.g. "QA_G" </t>
  </si>
  <si>
    <r>
      <rPr>
        <rFont val="Arial"/>
        <color theme="1"/>
      </rPr>
      <t xml:space="preserve">The new group appears as a selectable option after reload
- Created Program which is </t>
    </r>
    <r>
      <rPr>
        <rFont val="Arial"/>
        <b/>
        <color theme="1"/>
      </rPr>
      <t xml:space="preserve">'Selected All' </t>
    </r>
    <r>
      <rPr>
        <rFont val="Arial"/>
        <color theme="1"/>
      </rPr>
      <t xml:space="preserve">option in Agent group / Member group is automatically applied </t>
    </r>
  </si>
  <si>
    <t>No system state change beyond the new group's own creation; it is now available for selection here.</t>
  </si>
  <si>
    <t>RBMP-042</t>
  </si>
  <si>
    <t>Verify Real-time Group Targeting functionality for handling the "Default" User Group option</t>
  </si>
  <si>
    <t>"Default" User Group option behavior</t>
  </si>
  <si>
    <t>1. Select "Default" as a User Group alongside an Agent group.
2. Click Submit.</t>
  </si>
  <si>
    <t>User Group Default = "Selected All".</t>
  </si>
  <si>
    <t>Selected All is default value for both Agent and Member group</t>
  </si>
  <si>
    <t>A7. Real-time Game-Category Rebate Rate Table</t>
  </si>
  <si>
    <t>RBMP-043</t>
  </si>
  <si>
    <t>Verify Real-time Rebate Rate Table functionality for pre-populating all game categories automatically on Create</t>
  </si>
  <si>
    <t>All game categories are pre-populated automatically on Create</t>
  </si>
  <si>
    <t>1. Open Create.
2. Review the rebate-rate table without adding any rows manually.</t>
  </si>
  <si>
    <t>No manual entry.</t>
  </si>
  <si>
    <t>Every game category (Live Casino, Slot, Sportsbook, Fishing, eSports, Lottery, etc.) is already listed; there is no "Add game" control, consistent with the documented "all games included automatically" rule (see AQ-07 for the exact count).</t>
  </si>
  <si>
    <t>No system state change; only the pre-populated table contents are verified.</t>
  </si>
  <si>
    <t>RBMP-044</t>
  </si>
  <si>
    <t>Verify Real-time Rebate Rate Table functionality for accepting a 0% rate as no rebate for that category</t>
  </si>
  <si>
    <t>Setting a category's rate to 0% is accepted and means no rebate for that category</t>
  </si>
  <si>
    <t>1. Set one category to 0%.
2. Click Submit.</t>
  </si>
  <si>
    <t>Saves successfully; per the documented rule, 0% = no rebate for that category, not an error state.</t>
  </si>
  <si>
    <t>The program's rate for that category is saved at 0%.</t>
  </si>
  <si>
    <t>RBMP-045</t>
  </si>
  <si>
    <t>Verify Real-time Rebate Rate Table functionality for rejecting negative values in the rate field</t>
  </si>
  <si>
    <t>Rebate rate field rejects negative values</t>
  </si>
  <si>
    <t>1. Enter a negative percentage on one category.
2. Click Submit.</t>
  </si>
  <si>
    <t>-1%.</t>
  </si>
  <si>
    <t>Submit is blocked with a validation message.</t>
  </si>
  <si>
    <t>The program's rate table remains at its last validly saved values.</t>
  </si>
  <si>
    <t>RBMP-046</t>
  </si>
  <si>
    <t>Verify Real-time Rebate Rate Table functionality for rejecting non-numeric input in the rate field</t>
  </si>
  <si>
    <t>Rebate rate field rejects non-numeric input</t>
  </si>
  <si>
    <t>1. Enter text into a rate field.
2. Click Submit.</t>
  </si>
  <si>
    <t>"abc".</t>
  </si>
  <si>
    <t>Submit is blocked.</t>
  </si>
  <si>
    <t>RBMP-047</t>
  </si>
  <si>
    <t>Verify Real-time Rebate Rate Table functionality for not requiring rates to sum to 100% across categories</t>
  </si>
  <si>
    <t>Rebate rates are NOT required to sum to 100% across categories</t>
  </si>
  <si>
    <t>1. Set several categories to independent rates that don't sum to any particular total, e.g. 0.3%, 1.2%, 0.5%.
2. Click Submit.</t>
  </si>
  <si>
    <t>0.3%, 1.2%, 0.5%, remaining categories at 0%.</t>
  </si>
  <si>
    <t>Submit succeeds — unlike a probability pool, each category's rate is an independent cashback percentage with no required total.</t>
  </si>
  <si>
    <t>The program is saved with each category's independent rate, with no enforced total.</t>
  </si>
  <si>
    <t>RBMP-048</t>
  </si>
  <si>
    <t>Verify Real-time Rebate Rate Table functionality for enforcing the maximum rate boundary per category</t>
  </si>
  <si>
    <t>Maximum rebate rate boundary per category</t>
  </si>
  <si>
    <t>1. Enter a very high percentage (e.g. 100% or higher) on one category.
2. Click Submit.</t>
  </si>
  <si>
    <t>100%, 150%.</t>
  </si>
  <si>
    <t>Confirm the maximum accepted rate against AQ-06; the field should reject values above any documented ceiling.</t>
  </si>
  <si>
    <t>The program's rate for that category is saved only if within the confirmed valid ceiling (see AQ-06).</t>
  </si>
  <si>
    <t>RBMP-049</t>
  </si>
  <si>
    <t>Verify Real-time Rebate Rate Table functionality for supporting decimal precision on the rate</t>
  </si>
  <si>
    <t>Decimal precision on rebate rate</t>
  </si>
  <si>
    <t>1. Enter a rate with several decimal places, e.g. 0.375%.
2. Click Submit.</t>
  </si>
  <si>
    <t>0.375%.</t>
  </si>
  <si>
    <t>Confirm the supported decimal precision against AQ-06; the saved value should not silently round in a way that changes the intended rate.</t>
  </si>
  <si>
    <t>The program's rate for that category is saved at the confirmed supported precision (see AQ-06).</t>
  </si>
  <si>
    <t>RBMP-050</t>
  </si>
  <si>
    <t>Verify Real-time Rebate Rate Table functionality for applying an edited rate only to future settlement, not past settled amounts</t>
  </si>
  <si>
    <t>Editing a category's rate updates future settlement without altering past settled amounts</t>
  </si>
  <si>
    <t>Logged in to the Weibo Empire admin back-office as Super Admin/Admin with access to Rebate Management &gt; Rebate programs. Modifying an existing Real-time rebate program. The program has prior settled rebate history.</t>
  </si>
  <si>
    <t>1. Change a category's rate.
2. Click Update.
3. Check historical settlement records for that program.</t>
  </si>
  <si>
    <t>Change one category's rate on a program with settlement history.</t>
  </si>
  <si>
    <t>Past settled rebates keep the rate that was in effect at the time; only future settlements use the new rate (see AQ-13).</t>
  </si>
  <si>
    <t>Future settlements use the new rate; historical settled entries remain unchanged at their original rate.</t>
  </si>
  <si>
    <t>A8. Real-time Settlement Processing</t>
  </si>
  <si>
    <t>RBMP-051</t>
  </si>
  <si>
    <t>Verify Settlement functionality for crediting Real-time rebate immediately after each round's result</t>
  </si>
  <si>
    <t>Real-time rebate settles immediately after each round's result</t>
  </si>
  <si>
    <t>A test user is eligible for an Active Real-time program with a non-zero rate on at least one category.</t>
  </si>
  <si>
    <t>1. Play/settle a round in a rebated game category.
2. Check the rebate credit timing.</t>
  </si>
  <si>
    <t>One qualifying round.</t>
  </si>
  <si>
    <t>The rebate is calculated and credited right after the round's result, consistent with "Settlement is handled by the system after the result."</t>
  </si>
  <si>
    <t>The user's account balance/report reflects the credited rebate immediately after the round.</t>
  </si>
  <si>
    <t>RBMP-052</t>
  </si>
  <si>
    <t>Verify Settlement functionality for handling a rebate that falls below the Real-time Min Claim threshold</t>
  </si>
  <si>
    <t>Rebate below the Real-time Min Claim threshold</t>
  </si>
  <si>
    <t>Global Min Claim set to a known value, e.g. 10.</t>
  </si>
  <si>
    <t>1. Generate a calculated rebate below the Min Claim threshold.
2. Check whether it settles.</t>
  </si>
  <si>
    <t>Calculated rebate = 5, Min Claim = 10.</t>
  </si>
  <si>
    <t>Confirm against AQ-02/AQ-08 whether sub-threshold rebates are withheld, rolled over to the next cycle, or forfeited.</t>
  </si>
  <si>
    <t>System state matches the confirmed sub-threshold rule (see AQ-02/AQ-08) — the amount is withheld, rolled over, or forfeited.</t>
  </si>
  <si>
    <t>RBMP-053</t>
  </si>
  <si>
    <t>Verify Real-time Settlement functionality for preventing settlement on an Inactive program even with a configured rate</t>
  </si>
  <si>
    <t>An Inactive program does not generate settlements even with a configured rate</t>
  </si>
  <si>
    <t>An Inactive Real-time program with a non-zero rate exists.</t>
  </si>
  <si>
    <t>1. Generate qualifying activity under that program's assignment.
2. Check for a settlement.</t>
  </si>
  <si>
    <t>Inactive program, non-zero rate, qualifying activity.</t>
  </si>
  <si>
    <t>No rebate is calculated or credited while the program is Inactive.</t>
  </si>
  <si>
    <t>No rebate is credited; the user's account balance is unaffected by the inactive program.</t>
  </si>
  <si>
    <t>RBMP-054</t>
  </si>
  <si>
    <t>Verify Real-time Settlement functionality for preventing double-settlement on a retried or reprocessed batch</t>
  </si>
  <si>
    <t>No double-settlement on a retried or reprocessed batch</t>
  </si>
  <si>
    <t>A Real-time settlement has already been processed once for a given round.</t>
  </si>
  <si>
    <t>1. Trigger/simulate the scheduler reprocessing the same cycle.
2. Check for duplicate credits.</t>
  </si>
  <si>
    <t>Reprocessed settlement cycle.</t>
  </si>
  <si>
    <t>The same day's rebate is not credited twice.</t>
  </si>
  <si>
    <t>The user's account reflects exactly one credited rebate for that cycle, not two.</t>
  </si>
  <si>
    <t>RBMP-055</t>
  </si>
  <si>
    <t>Verify Real-time Settlement functionality for tracing each credited rebate back to its program and rate in the report</t>
  </si>
  <si>
    <t>Settlement report/log reflects which program and rate produced each credited rebate</t>
  </si>
  <si>
    <t>At least one settled Real-time rebate exists.</t>
  </si>
  <si>
    <t>1. Open the rebate report.
2. Inspect a settled entry.</t>
  </si>
  <si>
    <t>One settled rebate entry.</t>
  </si>
  <si>
    <t>The entry traces back to the specific program, category and rate used, supporting audit/reconciliation.</t>
  </si>
  <si>
    <t>No system state change; only the report's traceability to program/category/rate is verified.</t>
  </si>
  <si>
    <t>— DAILY REBATE</t>
  </si>
  <si>
    <t>B1. Daily Rebate Program List</t>
  </si>
  <si>
    <t>RBMP-056</t>
  </si>
  <si>
    <t>Verify Program List functionality for listing only Daily programs with correct summary data on that tab</t>
  </si>
  <si>
    <t>Daily tab lists only Daily programs with correct summary data</t>
  </si>
  <si>
    <t>Logged in to the Weibo Empire admin back-office as Super Admin/Admin with access to Rebate Management &gt; Rebate programs. On the Rebate program setup screen. Daily rebate tab selected. At least 2 Daily programs exist.</t>
  </si>
  <si>
    <t>1. Switch to the Daily rebate tab.
2. Review the program table.</t>
  </si>
  <si>
    <t>2 sample Daily programs.</t>
  </si>
  <si>
    <t>Only Daily programs are listed; switching tabs never mixes Real-time and Daily rows together.</t>
  </si>
  <si>
    <t>No system state change; the list continues to reflect existing Daily program data.</t>
  </si>
  <si>
    <t>RBMP-057</t>
  </si>
  <si>
    <t>Verify Daily Program List functionality for searching/filtering the list by name or target</t>
  </si>
  <si>
    <t>Logged in to the Weibo Empire admin back-office as Super Admin/Admin with access to Rebate Management &gt; Rebate programs. On the Rebate program setup screen. Daily rebate tab selected.</t>
  </si>
  <si>
    <t>RBMP-058</t>
  </si>
  <si>
    <t>Verify Daily Program List functionality for filtering by Status — All, Active, or Inactive</t>
  </si>
  <si>
    <t>Logged in to the Weibo Empire admin back-office as Super Admin/Admin with access to Rebate Management &gt; Rebate programs. On the Rebate program setup screen. Daily rebate tab selected. A mix of Active and Inactive programs exist.</t>
  </si>
  <si>
    <t>RBMP-059</t>
  </si>
  <si>
    <t>Verify Daily Program List functionality for opening the correct program pre-filled from Modify</t>
  </si>
  <si>
    <t>Daily Rebate</t>
  </si>
  <si>
    <t>Program Name, Status, Agent groups, User Groups and the game rebate-rate table are all pre-populated exactly as last saved.</t>
  </si>
  <si>
    <t>RBMP-060</t>
  </si>
  <si>
    <t>Verify Daily Program List functionality for requiring confirmation before Delete removes a program</t>
  </si>
  <si>
    <t>Cancelling leaves the program untouched; confirming removes it from the list.</t>
  </si>
  <si>
    <t>RBMP-061</t>
  </si>
  <si>
    <t>Verify Daily Program List functionality for paginating the list</t>
  </si>
  <si>
    <t>Logged in to the Weibo Empire admin back-office as Super Admin/Admin with access to Rebate Management &gt; Rebate programs. On the Rebate program setup screen. Daily rebate tab selected. More programs exist than fit on one page.</t>
  </si>
  <si>
    <t>B2. Daily Global Rebate Settings</t>
  </si>
  <si>
    <t xml:space="preserve">STATUS </t>
  </si>
  <si>
    <t>RBMP-062</t>
  </si>
  <si>
    <t>Verify Global Settings functionality for displaying the current saved Daily values</t>
  </si>
  <si>
    <t>Daily global settings display current saved values</t>
  </si>
  <si>
    <t>1. View the Global daily rebate settings panel.</t>
  </si>
  <si>
    <t>Previously saved Release Time / Expire Time / Status.</t>
  </si>
  <si>
    <t>Release Time, Expire Time and Status all reflect the last-saved values.</t>
  </si>
  <si>
    <t>REMARK</t>
  </si>
  <si>
    <t>RBMP-063</t>
  </si>
  <si>
    <t>Verify Global Settings functionality for rejecting a Daily Release Time that exceeds Expire Time</t>
  </si>
  <si>
    <t>Daily Release Time cannot exceed Expire Time</t>
  </si>
  <si>
    <t>1. Set Release Time to a value later than Expire Time.
2. Click Save.</t>
  </si>
  <si>
    <t>Release Time = 20:00; Expire Time = 18:00.</t>
  </si>
  <si>
    <t>Save is blocked with a validation message, consistent with the documented rule that release time cannot exceed expiry time.</t>
  </si>
  <si>
    <t>The Daily global settings remain at their last validly saved values.</t>
  </si>
  <si>
    <t>TC_REBATE_001</t>
  </si>
  <si>
    <t>Verify modify release time functionality</t>
  </si>
  <si>
    <t>Enter release time</t>
  </si>
  <si>
    <t>RBMP-064</t>
  </si>
  <si>
    <t>Verify Global Settings functionality for counting Daily Release/Expire Time starting from 00:00</t>
  </si>
  <si>
    <t>Daily Release/Expire Time counts from 00:00</t>
  </si>
  <si>
    <t>- display time on client</t>
  </si>
  <si>
    <t>1. Set Release Time = 0 and Expire Time = 24.
2. Save.
3. Verify a program's claim window against the documented 00:00 start.</t>
  </si>
  <si>
    <t>Release Time = 0; Expire Time = 24.</t>
  </si>
  <si>
    <t>The claim window is computed starting at 00:00 each day, consistent with the documented rule.</t>
  </si>
  <si>
    <t>The Daily claim window is computed and applied starting at 00:00, as configured.</t>
  </si>
  <si>
    <t>- Open https://admin.1083.city/
- Login valid account 
- Click on rebate management
- Click on rebate setup
- Click on Daily rebate tab
- Enter release time
- Click on save button</t>
  </si>
  <si>
    <t>-
&lt;&lt;valid account&gt;&gt;
-
-
-
7
-</t>
  </si>
  <si>
    <t>B3. Create Daily Rebate Program</t>
  </si>
  <si>
    <t>- Should be successfully modified
- On the client, the release time of rebate amount should change according to the admin config
- User can see the available rebate claim amount on 7</t>
  </si>
  <si>
    <t xml:space="preserve">- Enable Claim button for client for user </t>
  </si>
  <si>
    <t>RBMP-065</t>
  </si>
  <si>
    <t>Verify Create Program functionality for creating a Daily program with all fields valid</t>
  </si>
  <si>
    <t>Create a Daily rebate program with all fields valid</t>
  </si>
  <si>
    <t>Logged in to the Weibo Empire admin back-office as Super Admin/Admin with access to Rebate Management &gt; Rebate programs. On the Create Daily rebate program screen.</t>
  </si>
  <si>
    <t>1. Enter a unique Program Name.
2. Select Agent group(s) and User Group(s) whose pairing isn't used by another Daily program.
3. Set a rebate rate on at least one game category.
4. Click Submit.</t>
  </si>
  <si>
    <t>Name = "New Daily Rebate"; SLOT rate = 1.2%.</t>
  </si>
  <si>
    <t>The program is created and appears on the Daily tab with the entered data; Status defaults to Inactive unless changed.</t>
  </si>
  <si>
    <t>A new Daily rebate program exists, holding its Agent/User Group pairing(s) against future same-type duplicates.</t>
  </si>
  <si>
    <t>RBMP-066</t>
  </si>
  <si>
    <t>Verify Create Program functionality for returning to the correct tab on Back navigation</t>
  </si>
  <si>
    <t>Return/Back navigation from Create returns to the correct tab</t>
  </si>
  <si>
    <t>1. Click Return/Back without submitting.</t>
  </si>
  <si>
    <t>Returns to the Rebate program list with the Daily tab still active, not reset to Real-time.</t>
  </si>
  <si>
    <t>No system state change; only the returned-to tab is verified.</t>
  </si>
  <si>
    <t xml:space="preserve">High </t>
  </si>
  <si>
    <t>RBMP-067</t>
  </si>
  <si>
    <t>Verify Daily Create Program functionality for fixing the rebate Type so it cannot be changed on the Create screen</t>
  </si>
  <si>
    <t>TC_REBATE_002</t>
  </si>
  <si>
    <t>Verify modify release time bigger than Expire time functionality</t>
  </si>
  <si>
    <t>Enter release time bigger than expired time</t>
  </si>
  <si>
    <t>- as per hour</t>
  </si>
  <si>
    <t>- Open https://admin.1083.city/
- Login valid account 
- Click on rebate management
- Click on rebate setup
- Click on Daily rebate tab
- Enter release time bigger than expired
- Click on save button</t>
  </si>
  <si>
    <t>-
&lt;&lt;valid account&gt;&gt;
-
-
-
15
-</t>
  </si>
  <si>
    <r>
      <rPr>
        <rFont val="Arial"/>
        <color theme="1"/>
      </rPr>
      <t xml:space="preserve">- Should show validation message </t>
    </r>
    <r>
      <rPr>
        <rFont val="Arial"/>
        <i/>
        <color rgb="FFFF0000"/>
      </rPr>
      <t>"Expiration time must be greater than release time"</t>
    </r>
  </si>
  <si>
    <t>RBMP-068</t>
  </si>
  <si>
    <t>Verify Daily Create Program functionality for attempting to create a program with an empty Program Name</t>
  </si>
  <si>
    <t>TC_REBATE_003</t>
  </si>
  <si>
    <t>Verify modify expire time functionality</t>
  </si>
  <si>
    <t>Enter expire time</t>
  </si>
  <si>
    <t>RBMP-069</t>
  </si>
  <si>
    <t>Verify Daily Create Program functionality for attempting to create a program with no Agent group or no User Group selected</t>
  </si>
  <si>
    <t>- Open https://admin.1083.city/
- Login valid account 
- Click on rebate management
- Click on rebate setup
- Click on Daily rebate tab
- Enter expire time
- Click on save button</t>
  </si>
  <si>
    <t>-
&lt;&lt;valid account&gt;&gt;
-
-
-
24
-</t>
  </si>
  <si>
    <t>- Should be successfully modified
- Rebate amount should expired according to the config of expiration time 
- This cashback ll be expired after release by 24 hours</t>
  </si>
  <si>
    <t>- Expired duration for Rebate claim balance</t>
  </si>
  <si>
    <t>No new program is created unless empty group selection is confirmed acceptable (equivalent to AQ-08 in the Lucky Spin suite).</t>
  </si>
  <si>
    <t>TC_REBATE_004</t>
  </si>
  <si>
    <t>Verify modify Rebate status functionality</t>
  </si>
  <si>
    <t>Select status</t>
  </si>
  <si>
    <t>RBMP-070</t>
  </si>
  <si>
    <t xml:space="preserve"> </t>
  </si>
  <si>
    <t>Verify Daily Create Program functionality for blocking creation when the pairing duplicates another program of the same type</t>
  </si>
  <si>
    <t>- Open https://admin.1083.city/
- Login valid account 
- Click on rebate management
- Click on rebate setup
- Click on Daily rebate tab
- Select status
- Click on save button</t>
  </si>
  <si>
    <t>-
&lt;&lt;valid account&gt;&gt;
-
-
-
Disabled
-</t>
  </si>
  <si>
    <t>Logged in to the Weibo Empire admin back-office as Super Admin/Admin with access to Rebate Management &gt; Rebate programs. On the Create Daily rebate program screen. Another Active Daily program already uses the target pairing.</t>
  </si>
  <si>
    <t>After disabled, should stop calculating the settle rebate amount process</t>
  </si>
  <si>
    <t>TC_REBATE_005</t>
  </si>
  <si>
    <t>Verify filter language functionality</t>
  </si>
  <si>
    <t>Select Language</t>
  </si>
  <si>
    <t>- Open https://admin.1083.city/
- Login valid account 
- Click on rebate management
- Click on rebate setup
- Click on Daily rebate tab
- Select language</t>
  </si>
  <si>
    <t>RBMP-071</t>
  </si>
  <si>
    <t>-
&lt;&lt;valid account&gt;&gt;
-
-
-
English</t>
  </si>
  <si>
    <t>Verify Daily Create Program functionality for succeeding on resubmission after correcting a flagged duplicate-pairing conflict</t>
  </si>
  <si>
    <t>For rebate setup list, [Game name] should change according to the selected language</t>
  </si>
  <si>
    <t>Continuing directly from a blocked Daily submission due to a duplicate-pairing conflict.</t>
  </si>
  <si>
    <t>TC_REBATE_007</t>
  </si>
  <si>
    <t>Verify modify percentage % functionality</t>
  </si>
  <si>
    <t>Enter percentage</t>
  </si>
  <si>
    <t>- Open https://admin.1083.city/
- Login valid account 
- Click on rebate management
- Click on rebate setup
- Click on Daily rebate tab
- Click on modify button
- Enter percentage
- Click on submit</t>
  </si>
  <si>
    <t>-
&lt;&lt;valid account&gt;&gt;
-
-
-
-
4%
-</t>
  </si>
  <si>
    <t>RBMP-072</t>
  </si>
  <si>
    <t>Verify Daily Create Program functionality for defaulting a new program to Inactive regardless of entered data</t>
  </si>
  <si>
    <r>
      <rPr>
        <rFont val="Arial"/>
        <color theme="1"/>
      </rPr>
      <t xml:space="preserve">- Should be successfully modified
-The rebate amount of games should be calculated with the </t>
    </r>
    <r>
      <rPr>
        <rFont val="Arial"/>
        <b/>
        <color theme="1"/>
      </rPr>
      <t xml:space="preserve">percentage </t>
    </r>
    <r>
      <rPr>
        <rFont val="Arial"/>
        <color theme="1"/>
      </rPr>
      <t xml:space="preserve">that was set for each game </t>
    </r>
  </si>
  <si>
    <t>TC_REBATE_008</t>
  </si>
  <si>
    <t>Verify modify percentage more than 100 functionality</t>
  </si>
  <si>
    <t>Enter percentage more than 100%</t>
  </si>
  <si>
    <t>-
&lt;&lt;valid account&gt;&gt;
-
-
-
-
124%
-</t>
  </si>
  <si>
    <t>RBMP-073</t>
  </si>
  <si>
    <t>Percentage cannot be greater than 100 or lower than 0</t>
  </si>
  <si>
    <t>Verify Daily Create Program functionality for honoring an explicitly-set Active status on create</t>
  </si>
  <si>
    <t xml:space="preserve">should popup a message </t>
  </si>
  <si>
    <t>RBMP-074</t>
  </si>
  <si>
    <t>Verify Daily Create Program functionality for discarding a partially-completed form on Cancel</t>
  </si>
  <si>
    <t>RBMP-075</t>
  </si>
  <si>
    <t>Verify Daily Create Program functionality for handling a Program Name identical to an existing program</t>
  </si>
  <si>
    <t>V. 3.11.0</t>
  </si>
  <si>
    <t>Logged in to the Weibo Empire admin back-office as Super Admin/Admin with access to Rebate Management &gt; Rebate programs. On the Create Daily rebate program screen. Another program already uses the name being entered.</t>
  </si>
  <si>
    <t>Confirm against AQ-04 whether duplicate Program Names are permitted, and whether uniqueness is scoped per type or global.</t>
  </si>
  <si>
    <t>System state matches the confirmed name-uniqueness rule (see AQ-04).</t>
  </si>
  <si>
    <t>RBMP-076</t>
  </si>
  <si>
    <t>Verify Daily Create Program functionality for handling boundary input in the Program Name field, including very long text and special characters</t>
  </si>
  <si>
    <t>Real-time Rebate</t>
  </si>
  <si>
    <t>200+ character string with symbols and emoji.</t>
  </si>
  <si>
    <t>B4. Modify Daily Rebate Program</t>
  </si>
  <si>
    <t>RBMP-077</t>
  </si>
  <si>
    <t>Verify Daily Modify Program functionality for saving a change to Program Name</t>
  </si>
  <si>
    <t>Logged in to the Weibo Empire admin back-office as Super Admin/Admin with access to Rebate Management &gt; Rebate programs. Modifying an existing Daily rebate program.</t>
  </si>
  <si>
    <t>RBMP-078</t>
  </si>
  <si>
    <t>Verify Daily Modify Program functionality for toggling a program's Status between Active and Inactive</t>
  </si>
  <si>
    <t>Verify modify Min. Claim functionality</t>
  </si>
  <si>
    <t>Enter Min. Claim</t>
  </si>
  <si>
    <t>- Open https://admin.1083.city/
- Login valid account 
- Click on rebate management
- Click on rebate setup
- Click on real-time rebate tab
- Enter Min. Claim
- Click on save button</t>
  </si>
  <si>
    <t>- Should be successfully modified
- On the client, the release time of rebate amount should change according to the admin config</t>
  </si>
  <si>
    <t>RBMP-079</t>
  </si>
  <si>
    <t>Verify Daily Modify Program functionality for blocking a pairing change to one already used by another program of the same type</t>
  </si>
  <si>
    <t>Logged in to the Weibo Empire admin back-office as Super Admin/Admin with access to Rebate Management &gt; Rebate programs. Modifying an existing Daily rebate program. Another program of the same type already owns the target pairing.</t>
  </si>
  <si>
    <t>RBMP-080</t>
  </si>
  <si>
    <t>Verify Daily Modify Program functionality for saving unrelated field changes while leaving the program's own pairing unchanged</t>
  </si>
  <si>
    <t>TC_REBATE_009</t>
  </si>
  <si>
    <t>Enter Min. Claim with negative amount</t>
  </si>
  <si>
    <r>
      <rPr>
        <rFont val="Arial"/>
        <b/>
        <i/>
        <color rgb="FF980000"/>
        <sz val="9.0"/>
      </rPr>
      <t xml:space="preserve">-
&lt;&lt;valid account&gt;&gt;
-
-
-
</t>
    </r>
    <r>
      <rPr>
        <rFont val="Arial"/>
        <b/>
        <i/>
        <color rgb="FF980000"/>
        <sz val="9.0"/>
      </rPr>
      <t>-7</t>
    </r>
    <r>
      <rPr>
        <rFont val="Arial"/>
        <b/>
        <i/>
        <color rgb="FF980000"/>
        <sz val="9.0"/>
      </rPr>
      <t xml:space="preserve">
-</t>
    </r>
  </si>
  <si>
    <t>Should not allow negative amount</t>
  </si>
  <si>
    <t>RBMP-081</t>
  </si>
  <si>
    <t>Verify Daily Modify Program functionality for changing a game category's rebate rate</t>
  </si>
  <si>
    <t>Enter Min. Claim with decimal amount</t>
  </si>
  <si>
    <r>
      <rPr>
        <rFont val="Arial"/>
        <b/>
        <i/>
        <color rgb="FF980000"/>
        <sz val="9.0"/>
      </rPr>
      <t xml:space="preserve">-
&lt;&lt;valid account&gt;&gt;
-
-
-
</t>
    </r>
    <r>
      <rPr>
        <rFont val="Arial"/>
        <b/>
        <i/>
        <color rgb="FF980000"/>
        <sz val="9.0"/>
      </rPr>
      <t>0.99</t>
    </r>
    <r>
      <rPr>
        <rFont val="Arial"/>
        <b/>
        <i/>
        <color rgb="FF980000"/>
        <sz val="9.0"/>
      </rPr>
      <t xml:space="preserve">
-</t>
    </r>
  </si>
  <si>
    <t>Should allow 2 decimal amount</t>
  </si>
  <si>
    <t>RBMP-082</t>
  </si>
  <si>
    <t>Verify Daily Modify Program functionality for setting a game category's rate to 0%</t>
  </si>
  <si>
    <t>TC_REBATE_010</t>
  </si>
  <si>
    <t>- Open https://admin.1083.city/
- Login valid account 
- Click on rebate management
- Click on rebate setup
- Click on real-time rebate tab
- Enter expire time
- Click on save button</t>
  </si>
  <si>
    <r>
      <rPr>
        <rFont val="Arial"/>
        <color theme="1"/>
      </rPr>
      <t xml:space="preserve">- Should be successfully modified
- Rebate amount should expired according to the config of expiration time 
</t>
    </r>
    <r>
      <rPr>
        <rFont val="Arial"/>
        <b/>
        <i/>
        <color theme="1"/>
      </rPr>
      <t>NOTE: Expiration time will count after settled rebate</t>
    </r>
  </si>
  <si>
    <t>RBMP-083</t>
  </si>
  <si>
    <t>Verify Daily Modify Program functionality for blocking a rebate Type change during Modify</t>
  </si>
  <si>
    <t>1. Look for any way to switch the program between Real-time and Daily while modifying it.</t>
  </si>
  <si>
    <t>No such control exists; type is fixed for the life of the program, consistent with TC-CRT-003.</t>
  </si>
  <si>
    <t>TC_REBATE_011</t>
  </si>
  <si>
    <t>- Open https://admin.1083.city/
- Login valid account 
- Click on rebate management
- Click on rebate setup
- Click on real-time rebate tab
- Select status
- Click on save button</t>
  </si>
  <si>
    <t>RBMP-084</t>
  </si>
  <si>
    <t>Verify Daily Modify Program functionality for succeeding on Update when no changes were made</t>
  </si>
  <si>
    <t>TC_REBATE_012</t>
  </si>
  <si>
    <t>- Open https://admin.1083.city/
- Login valid account 
- Click on rebate management
- Click on rebate setup
- Click on real-time rebate tab
- Select language</t>
  </si>
  <si>
    <t>TC_REBATE_013</t>
  </si>
  <si>
    <t>B5. Delete Daily Rebate Program</t>
  </si>
  <si>
    <t>Verify Game list display</t>
  </si>
  <si>
    <t>Game display followed the setup</t>
  </si>
  <si>
    <t>- Open https://admin.1083.city/
- Login valid account 
- Click on rebate management
- Click on rebate setup
- Click on real-time rebate tab</t>
  </si>
  <si>
    <t>-
&lt;&lt;valid account&gt;&gt;
-
-
-</t>
  </si>
  <si>
    <t>Should display all game according to the setup of real-time rebate</t>
  </si>
  <si>
    <t>TC_REBATE_014</t>
  </si>
  <si>
    <t>- Open https://admin.1083.city/
- Login valid account 
- Click on rebate management
- Click on rebate setup
- Click on real-time rebate tab
- Click on modify button
- Enter percentage
- Click on submit</t>
  </si>
  <si>
    <t>RBMP-085</t>
  </si>
  <si>
    <r>
      <rPr>
        <rFont val="Arial"/>
        <color theme="1"/>
      </rPr>
      <t xml:space="preserve">- Should be successfully modified
-The rebate amount of games should be calculated with the </t>
    </r>
    <r>
      <rPr>
        <rFont val="Arial"/>
        <b/>
        <color theme="1"/>
      </rPr>
      <t xml:space="preserve">percentage </t>
    </r>
    <r>
      <rPr>
        <rFont val="Arial"/>
        <color theme="1"/>
      </rPr>
      <t xml:space="preserve">that was set for each game </t>
    </r>
  </si>
  <si>
    <t>Verify Daily Delete Program functionality for deleting a program that is not currently Active</t>
  </si>
  <si>
    <t>Logged in to the Weibo Empire admin back-office as Super Admin/Admin with access to Rebate Management &gt; Rebate programs. On the Rebate program setup screen. Daily rebate tab selected. An Inactive test program exists.</t>
  </si>
  <si>
    <t>The program is removed from the list without error.</t>
  </si>
  <si>
    <t>TC_REBATE_015</t>
  </si>
  <si>
    <t>RBMP-086</t>
  </si>
  <si>
    <t>Verify Daily Delete Program functionality for handling deletion of a currently Active program</t>
  </si>
  <si>
    <t>Logged in to the Weibo Empire admin back-office as Super Admin/Admin with access to Rebate Management &gt; Rebate programs. On the Rebate program setup screen. Daily rebate tab selected. An Active test program exists.</t>
  </si>
  <si>
    <t>Rebate Report</t>
  </si>
  <si>
    <t>An Active test program with a non-zero rate.</t>
  </si>
  <si>
    <t>Confirm against AQ-05 whether deleting an Active program is allowed outright, requires an extra warning, or is blocked until deactivated — this has real settlement implications.</t>
  </si>
  <si>
    <t>System state matches the confirmed active-deletion rule (see AQ-05) — the program is either removed, blocked, or flagged pending deactivation.</t>
  </si>
  <si>
    <t>RBMP-087</t>
  </si>
  <si>
    <t>Verify Daily Delete Program functionality for releasing a deleted program's pairing for reuse within the same type</t>
  </si>
  <si>
    <t>RBMP-088</t>
  </si>
  <si>
    <t>Verify Daily Delete Program functionality for allowing the delete confirmation to be cancelled</t>
  </si>
  <si>
    <t>B6. Daily Agent/User Group Targeting</t>
  </si>
  <si>
    <r>
      <rPr>
        <rFont val="Arial"/>
        <color theme="1"/>
      </rPr>
      <t xml:space="preserve">Verify Rebate report functionality with </t>
    </r>
    <r>
      <rPr>
        <rFont val="Arial"/>
        <color rgb="FF34A853"/>
      </rPr>
      <t xml:space="preserve">data list group </t>
    </r>
    <r>
      <rPr>
        <rFont val="Arial"/>
        <b/>
        <color rgb="FF34A853"/>
      </rPr>
      <t>by member</t>
    </r>
  </si>
  <si>
    <t>Verify that all member who did rebate is display</t>
  </si>
  <si>
    <t>- Open https://admin.1083.city/ in browser
- Login valid account
- Click on rebate management
- Click on rebate report</t>
  </si>
  <si>
    <t>RBMP-089</t>
  </si>
  <si>
    <t>-
&lt;&lt;valid account&gt;&gt;
-
-</t>
  </si>
  <si>
    <t>Verify Daily Group Targeting functionality for moving every available Agent into Selected via Select all</t>
  </si>
  <si>
    <t>"Select all" (&gt;&gt;) moves every available Agent into Selected</t>
  </si>
  <si>
    <r>
      <rPr>
        <rFont val="Arial"/>
        <color theme="1"/>
      </rPr>
      <t>- Should show proper today's data of each member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</si>
  <si>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1. Click &gt;&gt; above the Agent group Available list.</t>
  </si>
  <si>
    <t>Every available Agent group moves to Selected; individual items can still be removed afterward.</t>
  </si>
  <si>
    <t>V. 3.7.0</t>
  </si>
  <si>
    <t>RBMP-090</t>
  </si>
  <si>
    <t>Verify Daily Group Targeting functionality for moving a single Agent using the arrow controls</t>
  </si>
  <si>
    <r>
      <rPr>
        <rFont val="Arial"/>
        <color theme="1"/>
      </rPr>
      <t xml:space="preserve">Verify Rebate report functionality when </t>
    </r>
    <r>
      <rPr>
        <rFont val="Arial"/>
        <color rgb="FF34A853"/>
      </rPr>
      <t>click on any member account</t>
    </r>
  </si>
  <si>
    <t>RBMP-091</t>
  </si>
  <si>
    <t>Verify that the data display correctly according to the clicked member account</t>
  </si>
  <si>
    <t>Verify Daily Group Targeting functionality for clearing all Selected Agents using the clear-all control</t>
  </si>
  <si>
    <t>- User: abc123 has spin amount 4</t>
  </si>
  <si>
    <t>- Open https://admin.1083.city/ in browser
- Login valid account
- Click on rebate management
- Click on rebate report
- Click on username aba123</t>
  </si>
  <si>
    <t>Logged in to the Weibo Empire admin back-office as Super Admin/Admin with access to Rebate Management &gt; Rebate programs. On the Create Daily rebate program screen. Several Agent groups already Selected.</t>
  </si>
  <si>
    <t>RBMP-092</t>
  </si>
  <si>
    <t>Verify Daily Group Targeting functionality for matching the same transfer-selection behavior on the User Group control</t>
  </si>
  <si>
    <r>
      <rPr>
        <rFont val="Arial"/>
        <color theme="1"/>
      </rPr>
      <t xml:space="preserve">- Should </t>
    </r>
    <r>
      <rPr>
        <rFont val="Arial"/>
        <b/>
        <color theme="1"/>
      </rPr>
      <t>show all rebate record of the clicked member</t>
    </r>
    <r>
      <rPr>
        <rFont val="Arial"/>
        <color theme="1"/>
      </rPr>
      <t xml:space="preserve"> with
[No], [transaction date], [Username], [Game name],</t>
    </r>
    <r>
      <rPr>
        <rFont val="Arial"/>
        <color rgb="FFFF9900"/>
      </rPr>
      <t xml:space="preserve"> </t>
    </r>
    <r>
      <rPr>
        <rFont val="Arial"/>
        <b/>
        <color rgb="FFFF9900"/>
      </rPr>
      <t>[Type]</t>
    </r>
    <r>
      <rPr>
        <rFont val="Arial"/>
        <color rgb="FFFF9900"/>
      </rPr>
      <t xml:space="preserve"> </t>
    </r>
    <r>
      <rPr>
        <rFont val="Arial"/>
        <color theme="1"/>
      </rPr>
      <t xml:space="preserve">[Percentage%], [Turnover], [Membership type], [Increase %], [Rebate amount], [Status], </t>
    </r>
    <r>
      <rPr>
        <rFont val="Arial"/>
        <b/>
        <color rgb="FFFF9900"/>
      </rPr>
      <t xml:space="preserve">[Expiration Date]
</t>
    </r>
    <r>
      <rPr>
        <rFont val="Arial"/>
        <color theme="1"/>
      </rPr>
      <t xml:space="preserve">
- Should have [Total balance on this page] [Total balance of all page] 
</t>
    </r>
    <r>
      <rPr>
        <rFont val="Arial"/>
        <color rgb="FFEA4335"/>
      </rPr>
      <t>***Note: for each day, the rebate record should grouped by game provider</t>
    </r>
  </si>
  <si>
    <t>RBMP-093</t>
  </si>
  <si>
    <t>Verify Daily Group Targeting functionality for triggering duplicate-pairing validation on Submit/Update</t>
  </si>
  <si>
    <t>V. 3.17.0</t>
  </si>
  <si>
    <t>Logged in to the Weibo Empire admin back-office as Super Admin/Admin with access to Rebate Management &gt; Rebate programs. On either the Create Daily or Modify screen for a Daily program.</t>
  </si>
  <si>
    <t>RBMP-094</t>
  </si>
  <si>
    <r>
      <rPr>
        <rFont val="Arial"/>
        <color theme="1"/>
      </rPr>
      <t xml:space="preserve">Verify Filter functionality with </t>
    </r>
    <r>
      <rPr>
        <rFont val="Arial"/>
        <b/>
        <color theme="1"/>
      </rPr>
      <t>Date time</t>
    </r>
  </si>
  <si>
    <t>Verify Daily Group Targeting functionality for checking the full generated cross-product of Agents and User Groups on Submit</t>
  </si>
  <si>
    <t>Select date time</t>
  </si>
  <si>
    <t>- User should logged in</t>
  </si>
  <si>
    <t>Logged in to the Weibo Empire admin back-office as Super Admin/Admin with access to Rebate Management &gt; Rebate programs. On the Create Daily rebate program screen. At least two Agent groups and two User Groups are configured in the system.</t>
  </si>
  <si>
    <t>- Open https://admin.1083.city/
- Login valid account 
- Click on rebate management
- Click on rebate report
- Select time limit
- Click on search</t>
  </si>
  <si>
    <t>-
&lt;&lt;valid account&gt;&gt;
-
-
This week
-</t>
  </si>
  <si>
    <r>
      <rPr>
        <rFont val="Arial"/>
        <color theme="1"/>
      </rPr>
      <t>- Should show proper data of each member according to selected datetime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</si>
  <si>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RBMP-095</t>
  </si>
  <si>
    <t>Verify Daily Group Targeting functionality for not self-conflicting when editing without changing a program's own pairing</t>
  </si>
  <si>
    <r>
      <rPr>
        <rFont val="Arial"/>
        <color theme="1"/>
      </rPr>
      <t xml:space="preserve">Verify Filter functionality with </t>
    </r>
    <r>
      <rPr>
        <rFont val="Arial"/>
        <b/>
        <color theme="1"/>
      </rPr>
      <t>Product Name</t>
    </r>
  </si>
  <si>
    <t>Select Game name</t>
  </si>
  <si>
    <t>- Open https://admin.1083.city/
- Login valid account 
- Click on rebate management
- Click on rebate report
- Select Game name
- Click on search</t>
  </si>
  <si>
    <t>-
&lt;&lt;valid account&gt;&gt;
-
-
Dream Gaming
-</t>
  </si>
  <si>
    <r>
      <rPr>
        <rFont val="Arial"/>
        <color theme="1"/>
      </rPr>
      <t>- Should show proper data of each member according to searched game name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</si>
  <si>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RBMP-096</t>
  </si>
  <si>
    <t>Verify Daily Group Targeting functionality for making a newly created group selectable without a workaround</t>
  </si>
  <si>
    <t>Logged in to the Weibo Empire admin back-office as Super Admin/Admin with access to Rebate Management &gt; Rebate programs. On the Create Daily rebate program screen. A new Agent or User Group was just created in its own management module.</t>
  </si>
  <si>
    <t>A newly created group, e.g. "Agent F".</t>
  </si>
  <si>
    <t>The new group appears as a selectable option without requiring logout/login.</t>
  </si>
  <si>
    <r>
      <rPr>
        <rFont val="Arial"/>
        <color theme="1"/>
      </rPr>
      <t xml:space="preserve">Verify Filter functionality with </t>
    </r>
    <r>
      <rPr>
        <rFont val="Arial"/>
        <b/>
        <color theme="1"/>
      </rPr>
      <t>Type</t>
    </r>
  </si>
  <si>
    <t>Selected Type = All</t>
  </si>
  <si>
    <t>RBMP-097</t>
  </si>
  <si>
    <t>Verify Daily Group Targeting functionality for handling the "Default" User Group option</t>
  </si>
  <si>
    <r>
      <rPr>
        <rFont val="Arial"/>
        <color theme="1"/>
      </rPr>
      <t>-</t>
    </r>
    <r>
      <rPr>
        <rFont val="Arial"/>
        <b/>
        <color rgb="FFFF0000"/>
        <sz val="9.0"/>
      </rPr>
      <t xml:space="preserve"> All </t>
    </r>
    <r>
      <rPr>
        <rFont val="Arial"/>
        <color theme="1"/>
      </rPr>
      <t>as default selected</t>
    </r>
  </si>
  <si>
    <t>- Open https://admin.1083.city/
- Login valid account 
- Click on rebate management
- Click on rebate report
- Select Type (All / Daily / Real time) 
- Click on search</t>
  </si>
  <si>
    <t>User Group = "Default".</t>
  </si>
  <si>
    <t>Confirm the intended semantics of "Default" against the full doc (see AQ-11) and verify duplicate-checking treats it consistently with named groups.</t>
  </si>
  <si>
    <t>System state matches the confirmed semantics of the Default group (see AQ-11) once Submit completes.</t>
  </si>
  <si>
    <r>
      <rPr>
        <rFont val="Arial"/>
        <b/>
        <i/>
        <color rgb="FF980000"/>
        <sz val="9.0"/>
      </rPr>
      <t>- Type (</t>
    </r>
    <r>
      <rPr>
        <rFont val="Arial"/>
        <b/>
        <i/>
        <color rgb="FF980000"/>
        <sz val="9.0"/>
      </rPr>
      <t>All</t>
    </r>
    <r>
      <rPr>
        <rFont val="Arial"/>
        <b/>
        <i/>
        <color rgb="FF980000"/>
        <sz val="9.0"/>
      </rPr>
      <t xml:space="preserve"> for default) </t>
    </r>
  </si>
  <si>
    <t>B7. Daily Game-Category Rebate Rate Table</t>
  </si>
  <si>
    <r>
      <rPr>
        <rFont val="Arial"/>
        <color theme="1"/>
      </rPr>
      <t>- Should show proper data of each member according to searched game name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 Should show only selected Type </t>
    </r>
    <r>
      <rPr>
        <rFont val="Arial"/>
        <b/>
        <color theme="1"/>
      </rPr>
      <t>(Daily / Real Time)</t>
    </r>
  </si>
  <si>
    <t>RBMP-098</t>
  </si>
  <si>
    <t>Verify Daily Rebate Rate Table functionality for pre-populating all game categories automatically on Create</t>
  </si>
  <si>
    <r>
      <rPr>
        <rFont val="Arial"/>
        <color theme="1"/>
      </rPr>
      <t xml:space="preserve">Verify Filter functionality with </t>
    </r>
    <r>
      <rPr>
        <rFont val="Arial"/>
        <b/>
        <color theme="1"/>
      </rPr>
      <t>Status</t>
    </r>
  </si>
  <si>
    <t>- Open https://admin.1083.city/
- Login valid account 
- Click on rebate management
- Click on rebate report
- Select status
- Click on search</t>
  </si>
  <si>
    <t>-
&lt;&lt;valid account&gt;&gt;
-
-
Settled
-</t>
  </si>
  <si>
    <r>
      <rPr>
        <rFont val="Arial"/>
        <color theme="1"/>
      </rPr>
      <t>- Should show proper data of each member according to searched status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</si>
  <si>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RBMP-099</t>
  </si>
  <si>
    <t>Verify Daily Rebate Rate Table functionality for accepting a 0% rate as no rebate for that category</t>
  </si>
  <si>
    <r>
      <rPr>
        <rFont val="Arial"/>
        <color theme="1"/>
      </rPr>
      <t xml:space="preserve">Verify Filter functionality with </t>
    </r>
    <r>
      <rPr>
        <rFont val="Arial"/>
        <b/>
        <color theme="1"/>
      </rPr>
      <t>Agent account</t>
    </r>
  </si>
  <si>
    <t>Enter agent account</t>
  </si>
  <si>
    <t>- Open https://admin.1083.city/
- Login valid account 
- Click on rebate management
- Click on rebate report
- Enter agent account
- Click on search</t>
  </si>
  <si>
    <t>-
&lt;&lt;valid account&gt;&gt;
-
-
agtest
-</t>
  </si>
  <si>
    <r>
      <rPr>
        <rFont val="Arial"/>
        <color theme="1"/>
      </rPr>
      <t>- Should show proper data of each member according to searched agent account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</si>
  <si>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RBMP-100</t>
  </si>
  <si>
    <t>Verify Daily Rebate Rate Table functionality for rejecting negative values in the rate field</t>
  </si>
  <si>
    <r>
      <rPr>
        <rFont val="Arial"/>
        <color theme="1"/>
      </rPr>
      <t xml:space="preserve">Verify Filter functionality with </t>
    </r>
    <r>
      <rPr>
        <rFont val="Arial"/>
        <b/>
        <color theme="1"/>
      </rPr>
      <t xml:space="preserve">Invalid </t>
    </r>
    <r>
      <rPr>
        <rFont val="Arial"/>
        <color theme="1"/>
      </rPr>
      <t>a</t>
    </r>
    <r>
      <rPr>
        <rFont val="Arial"/>
        <b/>
        <color theme="1"/>
      </rPr>
      <t>gent account</t>
    </r>
  </si>
  <si>
    <t>Enter invalid agent account</t>
  </si>
  <si>
    <t>- Open https://admin.1083.city/
- Login valid account 
- Click on rebate management
- Click on rebate report
- Enter invalid agent account
- Click on search</t>
  </si>
  <si>
    <t>-
&lt;&lt;valid account&gt;&gt;
-
-
agtest31231
-</t>
  </si>
  <si>
    <t>No data</t>
  </si>
  <si>
    <t>RBMP-101</t>
  </si>
  <si>
    <t>Verify Daily Rebate Rate Table functionality for rejecting non-numeric input in the rate field</t>
  </si>
  <si>
    <r>
      <rPr>
        <rFont val="Arial"/>
        <color theme="1"/>
      </rPr>
      <t xml:space="preserve">Verify Filter functionality with </t>
    </r>
    <r>
      <rPr>
        <rFont val="Arial"/>
        <b/>
        <color theme="1"/>
      </rPr>
      <t>Username</t>
    </r>
  </si>
  <si>
    <t>Enter username</t>
  </si>
  <si>
    <t>- Open https://admin.1083.city/
- Login valid account 
- Click on rebate management
- Click on rebate report
- Enter username
- Click on search</t>
  </si>
  <si>
    <t>-
&lt;&lt;valid account&gt;&gt;
-
-
thu0108
-</t>
  </si>
  <si>
    <t>RBMP-102</t>
  </si>
  <si>
    <r>
      <rPr>
        <rFont val="Arial"/>
        <color theme="1"/>
      </rPr>
      <t>- Should show proper data of each member according to searched username such as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</si>
  <si>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Verify Daily Rebate Rate Table functionality for not requiring rates to sum to 100% across categories</t>
  </si>
  <si>
    <t>TC_REBATE_016</t>
  </si>
  <si>
    <r>
      <rPr>
        <rFont val="Arial"/>
        <color theme="1"/>
      </rPr>
      <t xml:space="preserve">Verify Filter functionality with </t>
    </r>
    <r>
      <rPr>
        <rFont val="Arial"/>
        <b/>
        <color theme="1"/>
      </rPr>
      <t xml:space="preserve">Invalid </t>
    </r>
    <r>
      <rPr>
        <rFont val="Arial"/>
        <color theme="1"/>
      </rPr>
      <t>a</t>
    </r>
    <r>
      <rPr>
        <rFont val="Arial"/>
        <b/>
        <color theme="1"/>
      </rPr>
      <t>gent account</t>
    </r>
  </si>
  <si>
    <t>- Open https://admin.1083.city/
- Login valid account 
- Click on rebate management
- Click on rebate report
- Enter invalid username
- Click on search</t>
  </si>
  <si>
    <t>-
&lt;&lt;valid account&gt;&gt;
-
-
dsaa123fff
-</t>
  </si>
  <si>
    <t>RBMP-103</t>
  </si>
  <si>
    <t>Verify Daily Rebate Rate Table functionality for enforcing the maximum rate boundary per category</t>
  </si>
  <si>
    <r>
      <rPr>
        <rFont val="Arial"/>
        <color theme="1"/>
      </rPr>
      <t xml:space="preserve">Verify Filter functionality with </t>
    </r>
    <r>
      <rPr>
        <rFont val="Arial"/>
        <b/>
        <color theme="1"/>
      </rPr>
      <t>Member group</t>
    </r>
  </si>
  <si>
    <t>Select member group</t>
  </si>
  <si>
    <t>RBMP-104</t>
  </si>
  <si>
    <t>Verify Daily Rebate Rate Table functionality for supporting decimal precision on the rate</t>
  </si>
  <si>
    <t>- Open https://admin.1083.city/ in browser
- Login valid account
- Click on rebate management
- Click on rebate report
- Select member group
- Click search</t>
  </si>
  <si>
    <t>-
&lt;&lt;valid account&gt;&gt;
-
-
test
-</t>
  </si>
  <si>
    <r>
      <rPr>
        <rFont val="Arial"/>
        <color theme="1"/>
      </rPr>
      <t>- Should show proper data of each member according to searched member group such as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</si>
  <si>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RBMP-105</t>
  </si>
  <si>
    <t>Verify Daily Rebate Rate Table functionality for applying an edited rate only to future settlement, not past settled amounts</t>
  </si>
  <si>
    <t>V. 3.6.0</t>
  </si>
  <si>
    <t>Logged in to the Weibo Empire admin back-office as Super Admin/Admin with access to Rebate Management &gt; Rebate programs. Modifying an existing Daily rebate program. The program has prior settled rebate history.</t>
  </si>
  <si>
    <r>
      <rPr>
        <rFont val="Arial"/>
        <color theme="1"/>
      </rPr>
      <t xml:space="preserve">Verify Filter functionality with </t>
    </r>
    <r>
      <rPr>
        <rFont val="Arial"/>
        <b/>
        <color theme="1"/>
      </rPr>
      <t>All Type</t>
    </r>
  </si>
  <si>
    <t>Select All type</t>
  </si>
  <si>
    <t>B8. Daily Settlement Processing</t>
  </si>
  <si>
    <t>- Open https://admin.1083.city/ in browser
- Login valid account
- Click on rebate management
- Click on rebate report
- Select type
- Click search</t>
  </si>
  <si>
    <t>-
&lt;&lt;valid account&gt;&gt;
-
-
All
-</t>
  </si>
  <si>
    <r>
      <rPr>
        <rFont val="Arial"/>
        <color theme="1"/>
      </rPr>
      <t>- Should show proper data of each member according to the selected type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</si>
  <si>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RBMP-106</t>
  </si>
  <si>
    <t>Verify Settlement functionality for crediting Daily rebate only on the scheduler's cycle, not immediately</t>
  </si>
  <si>
    <t>Daily rebate settles on the scheduler's cycle, not immediately</t>
  </si>
  <si>
    <t>A test user is eligible for an Active Daily program.</t>
  </si>
  <si>
    <t>1. Accrue qualifying turnover during the day.
2. Check whether a rebate credits immediately or only after the scheduled Release Time.</t>
  </si>
  <si>
    <t>Qualifying turnover during one day.</t>
  </si>
  <si>
    <t>The rebate is only credited at the scheduled cycle, consistent with "Daily settlement is controlled by the scheduler, not editable by admin."</t>
  </si>
  <si>
    <t>The user's account balance/report reflects the credited rebate only once the scheduler's cycle runs.</t>
  </si>
  <si>
    <r>
      <rPr>
        <rFont val="Arial"/>
        <color theme="1"/>
      </rPr>
      <t xml:space="preserve">Verify Filter functionality with </t>
    </r>
    <r>
      <rPr>
        <rFont val="Arial"/>
        <b/>
        <color theme="1"/>
      </rPr>
      <t>Daily rebate Type</t>
    </r>
  </si>
  <si>
    <t>Select Daily rebate type</t>
  </si>
  <si>
    <t>-
&lt;&lt;valid account&gt;&gt;
-
-
Daily rebate
-</t>
  </si>
  <si>
    <r>
      <rPr>
        <rFont val="Arial"/>
        <color theme="1"/>
      </rPr>
      <t>- Should show proper data of each member according to the selected type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</si>
  <si>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RBMP-107</t>
  </si>
  <si>
    <t>Verify Settlement functionality for preventing Admin from manually triggering or editing a Daily settlement run</t>
  </si>
  <si>
    <t>Admin cannot manually trigger or edit a Daily settlement run</t>
  </si>
  <si>
    <t>1. Look for any admin control to force-run or edit a Daily settlement.</t>
  </si>
  <si>
    <t>No such control exists in the admin UI, consistent with the documented rule that Daily settlement isn't admin-editable.</t>
  </si>
  <si>
    <t>No system state change; only the absence of a manual settlement control is verified.</t>
  </si>
  <si>
    <r>
      <rPr>
        <rFont val="Arial"/>
        <color theme="1"/>
      </rPr>
      <t xml:space="preserve">Verify Filter functionality with </t>
    </r>
    <r>
      <rPr>
        <rFont val="Arial"/>
        <b/>
        <color theme="1"/>
      </rPr>
      <t>Real-time rebate Type</t>
    </r>
  </si>
  <si>
    <t>Select Real-time type</t>
  </si>
  <si>
    <t>-
&lt;&lt;valid account&gt;&gt;
-
-
Real-time rebate
-</t>
  </si>
  <si>
    <r>
      <rPr>
        <rFont val="Arial"/>
        <color theme="1"/>
      </rPr>
      <t>- Should show proper data of each member according to the selected type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</si>
  <si>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RBMP-108</t>
  </si>
  <si>
    <t>Verify Settlement functionality for handling a claim made exactly at the Daily Expire Time boundary</t>
  </si>
  <si>
    <t>Rebate credited exactly at the Daily Expire Time boundary</t>
  </si>
  <si>
    <t>Global Daily Release/Expire Time configured.</t>
  </si>
  <si>
    <t>1. Set up a scenario where a claim window closes at a known Expire Time.
2. Verify behavior exactly at that boundary.</t>
  </si>
  <si>
    <t>Claim attempted at the exact Expire Time instant.</t>
  </si>
  <si>
    <t>Confirm against AQ-03 whether the boundary instant itself still allows claiming or is already expired.</t>
  </si>
  <si>
    <t>System state matches the confirmed boundary-inclusivity rule (see AQ-03) for that exact claim attempt.</t>
  </si>
  <si>
    <t>TC_REBATE_017</t>
  </si>
  <si>
    <r>
      <rPr>
        <rFont val="Arial"/>
        <color theme="1"/>
      </rPr>
      <t xml:space="preserve">Verify Value Display functionality with </t>
    </r>
    <r>
      <rPr>
        <rFont val="Arial"/>
        <b/>
        <color theme="1"/>
      </rPr>
      <t>Real-time rebate Type</t>
    </r>
  </si>
  <si>
    <t>When first betting record is not reach any group of experience range 0</t>
  </si>
  <si>
    <t>- First level is 20 point of experience</t>
  </si>
  <si>
    <t>RBMP-109</t>
  </si>
  <si>
    <t>Verify Daily Settlement functionality for preventing settlement on an Inactive program even with a configured rate</t>
  </si>
  <si>
    <t>An Inactive Daily program with a non-zero rate exists.</t>
  </si>
  <si>
    <t>- T.R of betting is  10
- New member type</t>
  </si>
  <si>
    <t xml:space="preserve">- [No] :
- [transaction date] :
- [Username] :
- [Game name] :
- [Type] : {realtime/daily}
- [Percentage%]: 100
- [Turnover] : 100(${currency})
- [Membership type] : --
- [Increase %] : 0
- [Rebate amount] : 100(${currency})
- [Status] :
- [Expiration Date] :
</t>
  </si>
  <si>
    <t>RBMP-110</t>
  </si>
  <si>
    <t>Verify Daily Settlement functionality for preventing double-settlement on a retried or reprocessed batch</t>
  </si>
  <si>
    <t>A Daily settlement cycle has already run once for a given day.</t>
  </si>
  <si>
    <t>TC_REBATE_018</t>
  </si>
  <si>
    <r>
      <rPr>
        <rFont val="Arial"/>
        <color theme="1"/>
      </rPr>
      <t xml:space="preserve">Verify Value Display functionality with </t>
    </r>
    <r>
      <rPr>
        <rFont val="Arial"/>
        <b/>
        <color theme="1"/>
      </rPr>
      <t>Real-time rebate Type</t>
    </r>
  </si>
  <si>
    <t>When first betting T.R is reach level 1 with 0 experience and below second level 50 experience</t>
  </si>
  <si>
    <t>- First level is 0 point of experience require
- Second level is 50 experience</t>
  </si>
  <si>
    <t>- T.R of betting is  10
- Reach Level membership ype</t>
  </si>
  <si>
    <t xml:space="preserve">- [No] :
- [transaction date] :
- [Username] :
- [Game name] :
- [Type] : {realtime/daily}
- [Percentage%]: 100
- [Turnover] : 10(${currency})
- [Membership type] : Level 1
- [Increase %] : 0
- [Rebate amount] : 10(${currency})
- [Status] : {Expired / Settled / Unsettle}
- [Expiration Date] :
</t>
  </si>
  <si>
    <t>RBMP-111</t>
  </si>
  <si>
    <t>Verify Daily Settlement functionality for tracing each credited rebate back to its program and rate in the report</t>
  </si>
  <si>
    <t>At least one settled Daily rebate exists.</t>
  </si>
  <si>
    <t>TC_REBATE_019</t>
  </si>
  <si>
    <r>
      <rPr>
        <rFont val="Arial"/>
        <color theme="1"/>
      </rPr>
      <t xml:space="preserve">Verify Value Display functionality with </t>
    </r>
    <r>
      <rPr>
        <rFont val="Arial"/>
        <b/>
        <color theme="1"/>
      </rPr>
      <t>Real-time rebate Type</t>
    </r>
  </si>
  <si>
    <t>When user betting experience is reach Level 2 with experience point greater than or equal to 50point</t>
  </si>
  <si>
    <t>- T.R of betting is  50
- Reach Level membership ype</t>
  </si>
  <si>
    <t xml:space="preserve">- [No] :
- [transaction date] :
- [Username] :
- [Game name] :
- [Type] : {realtime/daily}
- [Percentage%]: 100
- [Turnover] : 50(${currency})
- [Membership type] : Level 2
- [Increase %] : 10
- [Rebate amount] : 10(${currency})
- [Status] : {Expired / Settled / Unsettle}
- [Expiration Date] :
</t>
  </si>
  <si>
    <t>TC_REBATE_020</t>
  </si>
  <si>
    <r>
      <rPr>
        <rFont val="Arial"/>
        <color theme="1"/>
      </rPr>
      <t xml:space="preserve">Verify Value Display functionality with </t>
    </r>
    <r>
      <rPr>
        <rFont val="Arial"/>
        <b/>
        <color theme="1"/>
      </rPr>
      <t>Real-time rebate Type</t>
    </r>
  </si>
  <si>
    <t xml:space="preserve"> — SHARED / CROSS-CUTTING</t>
  </si>
  <si>
    <t>C1. Cross-Type Behavior</t>
  </si>
  <si>
    <t>Verify Program List functionality for preserving each tab's own search/filter state when switching tabs</t>
  </si>
  <si>
    <t>Switching tabs and each tab's own search/filter state</t>
  </si>
  <si>
    <t>Logged in to the Weibo Empire admin back-office as Super Admin/Admin with access to Rebate Management &gt; Rebate programs. On the Rebate program setup screen.</t>
  </si>
  <si>
    <t>1. Apply a search/filter on the Real-time tab.
2. Switch to Daily.
3. Switch back to Real-time.</t>
  </si>
  <si>
    <t>Any search/filter value.</t>
  </si>
  <si>
    <t>Confirm against AQ-09 whether each tab remembers its own filter state independently or resets on tab switch.</t>
  </si>
  <si>
    <t>No system state change; behavior matches whichever filter-persistence rule is confirmed (see AQ-09).</t>
  </si>
  <si>
    <t>TC_REBATE_021</t>
  </si>
  <si>
    <t>Verify Reset Filter functionality</t>
  </si>
  <si>
    <t>Click on reset</t>
  </si>
  <si>
    <t>- User should logged in
- User should did the filter</t>
  </si>
  <si>
    <t>RBMP-113</t>
  </si>
  <si>
    <t>Verify Global Settings functionality for saving settings independently per rebate type</t>
  </si>
  <si>
    <t>- Open https://admin.1083.city/
- Login valid account 
- Click on rebate management
- Click on rebate report
- Did the filter
- Click on reset</t>
  </si>
  <si>
    <t>Global settings are saved independently per rebate type</t>
  </si>
  <si>
    <t>-
&lt;&lt;valid account&gt;&gt;
-
-
&lt;&lt;filter&gt;&gt;
-</t>
  </si>
  <si>
    <t>1. Change and save Real-time global settings.
2. Switch to Daily and check its global settings are unaffected.
3. Repeat in reverse.</t>
  </si>
  <si>
    <t>Distinct values per type.</t>
  </si>
  <si>
    <t>Real-time and Daily global settings are stored and applied completely independently of each other.</t>
  </si>
  <si>
    <t>Each rebate type's global settings persist independently, with no cross-type interference.</t>
  </si>
  <si>
    <r>
      <rPr>
        <rFont val="Arial"/>
        <color theme="1"/>
      </rPr>
      <t>- Should show proper today's data of each member such as [</t>
    </r>
    <r>
      <rPr>
        <rFont val="Arial"/>
        <color theme="1"/>
        <u/>
      </rPr>
      <t>username</t>
    </r>
    <r>
      <rPr>
        <rFont val="Arial"/>
        <color theme="1"/>
      </rPr>
      <t xml:space="preserve">], [Member group], [Agent code], [Record amount], [Total valid bet], [Total rebate amount]
- Should show only member account who has rebate record.
- Each member account should be able to click
- Should have [Total balance on this page] [Total balance of all page] </t>
    </r>
  </si>
  <si>
    <t>RBMP-114</t>
  </si>
  <si>
    <t>Verify Create Program functionality for allowing the same pairing on a Daily program that a Real-time program already uses</t>
  </si>
  <si>
    <t>The SAME pairing used by a Real-time program is allowed on a Daily program</t>
  </si>
  <si>
    <t>Logged in to the Weibo Empire admin back-office as Super Admin/Admin with access to Rebate Management &gt; Rebate programs. On the Create Daily rebate program screen. A Real-time program already uses a given Agent+User Group pairing.</t>
  </si>
  <si>
    <t>1. On the Daily Create screen, select the identical Agent/User Group pairing already used by that Real-time program.
2. Click Submit.</t>
  </si>
  <si>
    <t>Pairing already used by a Real-time program, but not by any Daily program.</t>
  </si>
  <si>
    <t>Submit succeeds — per the type-scoped rule, Real-time and Daily uniqueness are checked completely independently.</t>
  </si>
  <si>
    <t>A new Daily program exists holding the same pairing already used by an existing Real-time program; both coexist without conflict.</t>
  </si>
  <si>
    <t>C2. Access Control</t>
  </si>
  <si>
    <t>TC_REBATE_022</t>
  </si>
  <si>
    <t xml:space="preserve"> 
- User should did the filter</t>
  </si>
  <si>
    <t>- Open https://admin.1083.city/
- Login valid account 
- Click on rebate management
- Click on rebate report
- Did the filter
- Select language</t>
  </si>
  <si>
    <t>-
&lt;&lt;valid account&gt;&gt;
-
-
&lt;&lt;filter&gt;&gt;
English</t>
  </si>
  <si>
    <t>Result, [Game name] should change according to the selected language</t>
  </si>
  <si>
    <t>RBMP-115</t>
  </si>
  <si>
    <t>Verify Access Control functionality for granting Super Admin full access to Rebate program management</t>
  </si>
  <si>
    <t>Super Admin has full access to Rebate program management</t>
  </si>
  <si>
    <t>Logged in as a Super Admin test account.</t>
  </si>
  <si>
    <t>1. Navigate to Rebate Management.
2. Attempt Create, Modify and Delete on both tabs.</t>
  </si>
  <si>
    <t>Super Admin test account.</t>
  </si>
  <si>
    <t>All actions are available and complete successfully.</t>
  </si>
  <si>
    <t>Every action attempted (Create/Modify/Delete) completes and is reflected in the system's data.</t>
  </si>
  <si>
    <t>TC_REBATE_023</t>
  </si>
  <si>
    <t>Verify Rebate record table header display</t>
  </si>
  <si>
    <t>check table header of rebate recorded</t>
  </si>
  <si>
    <t>- There is recordss</t>
  </si>
  <si>
    <t>- Open https://admin.1083.city/
- Login valid account 
- Click on rebate management
- Click on rebate report
- Did the filter
- Check table header and rebate records</t>
  </si>
  <si>
    <t>Access</t>
  </si>
  <si>
    <r>
      <rPr>
        <rFont val="Arial"/>
        <color theme="1"/>
      </rPr>
      <t xml:space="preserve">- Table header: </t>
    </r>
    <r>
      <rPr>
        <rFont val="Arial"/>
        <b/>
        <color theme="1"/>
      </rPr>
      <t xml:space="preserve">No, Transaction date, Username, Game name, </t>
    </r>
    <r>
      <rPr>
        <rFont val="Arial"/>
        <b/>
        <color rgb="FF980000"/>
      </rPr>
      <t xml:space="preserve">Type, </t>
    </r>
    <r>
      <rPr>
        <rFont val="Arial"/>
        <b/>
        <color theme="1"/>
      </rPr>
      <t>Percentage%, Turnover, Rebate amount, Status,</t>
    </r>
    <r>
      <rPr>
        <rFont val="Arial"/>
        <b/>
        <color rgb="FF980000"/>
      </rPr>
      <t xml:space="preserve"> Expiration date. </t>
    </r>
  </si>
  <si>
    <t>Verify Access Control functionality for defining the Admin role's access level to Rebate program management</t>
  </si>
  <si>
    <t>Admin role's access level to Rebate program management</t>
  </si>
  <si>
    <t>Logged in as an Admin test account.</t>
  </si>
  <si>
    <t>1. Navigate to Rebate Management.
2. Attempt the same Create/Modify/Delete actions as Super Admin.</t>
  </si>
  <si>
    <t>Admin test account.</t>
  </si>
  <si>
    <t>Confirm against AQ-10 whether Admin has full parity with Super Admin or a restricted subset.</t>
  </si>
  <si>
    <t>System state matches whichever actions are confirmed permitted for Admin (see AQ-10).</t>
  </si>
  <si>
    <t>RBMP-117</t>
  </si>
  <si>
    <t>Verify Access Control functionality for blocking Agent-role access to the admin setup</t>
  </si>
  <si>
    <t>Agent role cannot access Rebate program admin setup</t>
  </si>
  <si>
    <t>Logged in as an Agent test account.</t>
  </si>
  <si>
    <t>1. Check the side navigation for Rebate Management.
2. Attempt to navigate directly to the Rebate programs URL.</t>
  </si>
  <si>
    <t>Agent test account.</t>
  </si>
  <si>
    <t>The menu item is hidden and/or direct navigation is blocked or redirected.</t>
  </si>
  <si>
    <t>No Rebate program data is created, modified, or deleted; the Agent's session remains restricted.</t>
  </si>
  <si>
    <t>RBMP-118</t>
  </si>
  <si>
    <t>Verify Access Control functionality for blocking ordinary-user access to the admin setup</t>
  </si>
  <si>
    <t>Ordinary user cannot access Rebate program admin setup</t>
  </si>
  <si>
    <t>Logged in as an ordinary user test account.</t>
  </si>
  <si>
    <t>1. Repeat TC-ACC-003's steps for the user role.</t>
  </si>
  <si>
    <t>User test account.</t>
  </si>
  <si>
    <t>Same protection as TC-ACC-003 applies to the user role.</t>
  </si>
  <si>
    <t>No Rebate program data is created, modified, or deleted; the user's session remains restricted.</t>
  </si>
  <si>
    <t>RBMP-119</t>
  </si>
  <si>
    <t>Verify Access Control functionality for blocking a direct deep-link to Create/Modify URLs without the proper role</t>
  </si>
  <si>
    <t>Direct deep-link to Create/Modify URLs without the proper role</t>
  </si>
  <si>
    <t>Logged in as a role without Rebate admin rights.</t>
  </si>
  <si>
    <t>1. Obtain the Create or Modify screen's URL from a Super Admin session.
2. Paste it directly into a browser logged in as a lower-privileged role.</t>
  </si>
  <si>
    <t>Direct URL to Create Real-time rebate program.</t>
  </si>
  <si>
    <t>Unauthorized access is redirected or shown an access-denied state rather than the form itself.</t>
  </si>
  <si>
    <t>No Rebate program data is created, modified, or deleted; the unauthorized session is redirected or denied.</t>
  </si>
  <si>
    <t>C3. Localization</t>
  </si>
  <si>
    <t>RBMP-120</t>
  </si>
  <si>
    <t>Verify Localization functionality for rendering all static labels correctly in English</t>
  </si>
  <si>
    <t>All static labels render correctly in English</t>
  </si>
  <si>
    <t>Logged in to the Weibo Empire admin back-office as Super Admin/Admin with access to Rebate Management &gt; Rebate programs. Language set to English.</t>
  </si>
  <si>
    <t>1. Visit the program list (both tabs), global settings, Create (both types), and group selectors.
2. Review every label, button and column header.</t>
  </si>
  <si>
    <t>Language = English.</t>
  </si>
  <si>
    <t>No missing translation keys, placeholder text, or truncated labels appear on any screen.</t>
  </si>
  <si>
    <t>No system state change; only display language is verified.</t>
  </si>
  <si>
    <t>Localization</t>
  </si>
  <si>
    <t>RBMP-121</t>
  </si>
  <si>
    <t>Verify Localization functionality for rendering all static labels correctly in Chinese</t>
  </si>
  <si>
    <t>All static labels render correctly in Chinese</t>
  </si>
  <si>
    <t>Logged in to the Weibo Empire admin back-office as Super Admin/Admin with access to Rebate Management &gt; Rebate programs. Language set to Chinese.</t>
  </si>
  <si>
    <t>1. Repeat TC-I18N-001's review with the UI language set to Chinese.</t>
  </si>
  <si>
    <r>
      <rPr>
        <rFont val="Arial"/>
        <color theme="1"/>
        <sz val="10.0"/>
      </rPr>
      <t>Language = Chinese, matching the doc's own "</t>
    </r>
    <r>
      <rPr>
        <rFont val="Noto Sans CJK SC"/>
        <color theme="1"/>
        <sz val="10.0"/>
      </rPr>
      <t>返水计划</t>
    </r>
    <r>
      <rPr>
        <rFont val="Arial"/>
        <color theme="1"/>
        <sz val="10.0"/>
      </rPr>
      <t>" title.</t>
    </r>
  </si>
  <si>
    <t>All labels display correctly translated text; layout accommodates longer/shorter Chinese text without overlap or truncation.</t>
  </si>
  <si>
    <t>RBMP-122</t>
  </si>
  <si>
    <t>Verify Localization functionality for translating the duplicate-pairing error message</t>
  </si>
  <si>
    <t>The duplicate-pairing error message is translated</t>
  </si>
  <si>
    <t>1. Trigger the duplicate-pairing error (as in TC-CRT-006).</t>
  </si>
  <si>
    <t>Language = Chinese.</t>
  </si>
  <si>
    <t>The error displays in Chinese, matching the bilingual error text visible in the captures.</t>
  </si>
  <si>
    <t>No system state change; only the language of the validation/error message is verified.</t>
  </si>
  <si>
    <t>RBMP-123</t>
  </si>
  <si>
    <t>Verify Localization functionality for keeping currency display consistent across screens and languages</t>
  </si>
  <si>
    <t>Currency display is consistent across screens and languages</t>
  </si>
  <si>
    <t>Logged in to the Weibo Empire admin back-office as Super Admin/Admin with access to Rebate Management &gt; Rebate programs. Currency = HKD (as shown in the capture's top-right selector).</t>
  </si>
  <si>
    <t>1. Compare currency-relevant fields (e.g. Min Claim) across languages.</t>
  </si>
  <si>
    <t>Currency = HKD, both languages.</t>
  </si>
  <si>
    <t>Currency symbol/formatting stays consistent regardless of the selected language.</t>
  </si>
  <si>
    <t>No system state change; only currency formatting consistency is verified.</t>
  </si>
  <si>
    <t>C4. Regression</t>
  </si>
  <si>
    <t>RBMP-124</t>
  </si>
  <si>
    <t>Verify Regression functionality for migrating existing single-program data into the new multi-program list</t>
  </si>
  <si>
    <t>Existing single-program rebate data migrates into the new multi-program list</t>
  </si>
  <si>
    <t>A merchant with a pre-existing (pre-upgrade) single rebate configuration.</t>
  </si>
  <si>
    <t>1. Upgrade/deploy the multi-program feature for that merchant.
2. Open Rebate program setup.</t>
  </si>
  <si>
    <t>A merchant's pre-upgrade rebate configuration.</t>
  </si>
  <si>
    <t>Per the doc's Objective, the pre-existing setup appears as a valid entry on the correct tab (Real-time or Daily) with its original rates and targeting intact (see AQ-12).</t>
  </si>
  <si>
    <t>The migrated merchant now has a valid Program-list entry, on the correct tab, representing their pre-upgrade configuration.</t>
  </si>
  <si>
    <t>Regression</t>
  </si>
  <si>
    <t>RBMP-125</t>
  </si>
  <si>
    <t>Verify Regression functionality for keeping member-facing rebate crediting unaffected for a migrated program</t>
  </si>
  <si>
    <t>Member-facing rebate crediting is unaffected for a migrated program</t>
  </si>
  <si>
    <t>Following TC-REG-001's migration.</t>
  </si>
  <si>
    <t>1. As an eligible user, generate qualifying activity.
2. Compare the credited rebate to pre-upgrade behavior.</t>
  </si>
  <si>
    <t>Eligible member account.</t>
  </si>
  <si>
    <t>Users continue to receive correct rebates, matching pre-upgrade calculation.</t>
  </si>
  <si>
    <t>Member rebate crediting continues exactly as before the upgrade.</t>
  </si>
  <si>
    <t>RBMP-126</t>
  </si>
  <si>
    <t>Verify Regression functionality for keeping historical reports accurate after the multi-program change</t>
  </si>
  <si>
    <t>Historical rebate reports remain accurate after the multi-program change</t>
  </si>
  <si>
    <t>Historical rebate data exists from before the upgrade.</t>
  </si>
  <si>
    <t>1. Open the rebate report.
2. Review pre-upgrade entries.</t>
  </si>
  <si>
    <t>Pre-upgrade historical rebate records.</t>
  </si>
  <si>
    <t>Historical entries are correctly attributed with no data loss.</t>
  </si>
  <si>
    <t>Historical rebate records remain correctly attributed with no data loss.</t>
  </si>
  <si>
    <t>RBMP-127</t>
  </si>
  <si>
    <t>Verify Regression functionality for ensuring pre-existing assignments are not duplicated or corrupted by the migration</t>
  </si>
  <si>
    <t>Pre-existing Agent/User Group assignments are not duplicated or corrupted by the migration</t>
  </si>
  <si>
    <t>Assignments existed prior to the multi-program rollout.</t>
  </si>
  <si>
    <t>1. Compare assignment data before and after the upgrade.</t>
  </si>
  <si>
    <t>Pre- and post-upgrade assignment snapshots.</t>
  </si>
  <si>
    <t>Assignments match exactly; no duplication or data corruption occurred.</t>
  </si>
  <si>
    <t>Pre-existing Agent/User Group assignments remain exactly as they were, with no duplicate or corrupted entries.</t>
  </si>
  <si>
    <t>Release Time = 20:00; Expire Time = 18:00.
-
&lt;&lt;valid account&gt;&gt;
-
-
-
15
-  [from TC_REBATE_002]</t>
  </si>
  <si>
    <t>Save is blocked with a validation message, consistent with the documented rule that release time cannot exceed expiry time.
- Should show validation message "Expiration time must be greater than release time"</t>
  </si>
  <si>
    <t>SLOT 1.2% -&gt; 1.5%.
-
&lt;&lt;valid account&gt;&gt;
-
-
-
-
4%
-  [from TC_REBATE_007]</t>
  </si>
  <si>
    <t>The new rate saves and is reflected for future settlement calculations.
- Should be successfully modified
-The rebate amount of games should be calculated with the percentage that was set for each game</t>
  </si>
  <si>
    <t>100%, 150%.
-
&lt;&lt;valid account&gt;&gt;
-
-
-
-
124%
-  [from TC_REBATE_008]</t>
  </si>
  <si>
    <t>Confirm the maximum accepted rate against AQ-06; the field should reject values above any documented ceiling.
Percentage cannot be greater than 100 or lower than 0</t>
  </si>
  <si>
    <t>The program's rate for that category is saved only if within the confirmed valid ceiling (see AQ-06).
should popup a message</t>
  </si>
  <si>
    <t>Min Claim = 10; Expire Time = 24 (hours).
-
&lt;&lt;valid account&gt;&gt;
-
-
-
7
-  [from TC_REBATE_008]</t>
  </si>
  <si>
    <t>Values persist after a page reload; a Save confirmation is shown.
- Should be successfully modified
- On the client, the release time of rebate amount should change according to the admin config</t>
  </si>
  <si>
    <t>3/23/2026</t>
  </si>
  <si>
    <t>-5, "abc".
-
&lt;&lt;valid account&gt;&gt;
-
-
-
-7
-  [from TC_REBATE_009]</t>
  </si>
  <si>
    <t>Save is blocked with a validation message for both invalid inputs.
Should not allow negative amount</t>
  </si>
  <si>
    <t>Min Claim = 10; Expire Time = 24 (hours).
-
&lt;&lt;valid account&gt;&gt;
-
-
-
7
- [from TC_REBATE_008]
-
&lt;&lt;valid account&gt;&gt;
-
-
-
24
-  [from TC_REBATE_010]</t>
  </si>
  <si>
    <t>Values persist after a page reload; a Save confirmation is shown.
- Should be successfully modified
- On the client, the release time of rebate amount should change according to the admin config
- Should be successfully modified
- Rebate amount should expired according to the config of expiration time 
NOTE: Expiration time will count after settled rebate</t>
  </si>
  <si>
    <t>Global Status = Inactive.
-
&lt;&lt;valid account&gt;&gt;
-
-
-
Disabled
-  [from TC_REBATE_011]</t>
  </si>
  <si>
    <t>Confirm against AQ-01 whether the global toggle is a master switch overriding per-program Status, or purely informational.
After disabled, should stop calculating the settle rebate amount process</t>
  </si>
  <si>
    <t>No manual entry.
-
&lt;&lt;valid account&gt;&gt;
-
-
-  [from TC_REBATE_013]</t>
  </si>
  <si>
    <t>Every game category (Live Casino, Slot, Sportsbook, Fishing, eSports, Lottery, etc.) is already listed; there is no "Add game" control, consistent with the documented "all games included automatically" rule (see AQ-07 for the exact count).
Should display all game according to the setup of real-time rebate</t>
  </si>
  <si>
    <t>SLOT 1.2% -&gt; 1.5%.
-
&lt;&lt;valid account&gt;&gt;
-
-
-
-
4%
-  [from TC_REBATE_014]</t>
  </si>
  <si>
    <t>100%, 150%.
-
&lt;&lt;valid account&gt;&gt;
-
-
-
-
124%
-  [from TC_REBATE_015]</t>
  </si>
  <si>
    <t>— REBATE REPORT AND CLIENT-EXECUTED SETUP ROWS</t>
  </si>
  <si>
    <t>D1. Rebate Setup — client-executed rows with no equivalent above</t>
  </si>
  <si>
    <t>RBMP-128</t>
  </si>
  <si>
    <t>-
&lt;&lt;valid account&gt;&gt;
-
-
-
7
-  [from TC_REBATE_001]</t>
  </si>
  <si>
    <t>- Enable Claim button for client for user</t>
  </si>
  <si>
    <t>RBMP-129</t>
  </si>
  <si>
    <t>-
&lt;&lt;valid account&gt;&gt;
-
-
-
24
-  [from TC_REBATE_003]</t>
  </si>
  <si>
    <t>RBMP-130</t>
  </si>
  <si>
    <t>-
&lt;&lt;valid account&gt;&gt;
-
-
-
Disabled
-  [from TC_REBATE_004]</t>
  </si>
  <si>
    <t>RBMP-131</t>
  </si>
  <si>
    <t>-
&lt;&lt;valid account&gt;&gt;
-
-
-
English  [from TC_REBATE_005]</t>
  </si>
  <si>
    <t>RBMP-132</t>
  </si>
  <si>
    <t>-
&lt;&lt;valid account&gt;&gt;
-
-
-
0.99
-  [from TC_REBATE_009]</t>
  </si>
  <si>
    <t>RBMP-133</t>
  </si>
  <si>
    <t>-
&lt;&lt;valid account&gt;&gt;
-
-
-
English  [from TC_REBATE_012]</t>
  </si>
  <si>
    <t>D2. Rebate Report</t>
  </si>
  <si>
    <t>RBMP-134</t>
  </si>
  <si>
    <t>Verify Rebate report functionality with data list group by member</t>
  </si>
  <si>
    <t>-
&lt;&lt;valid account&gt;&gt;
-
-  [from TC_REBATE_008]</t>
  </si>
  <si>
    <t>- Should show proper today's data of each member such as [username], [Member group], [Agent code], [Record amount], [Total valid bet], [Total rebate amount]
- Should show only member account who has rebate record.
- Each member account should be able to click
- Should have [Total balance on this page] [Total balance of all page]</t>
  </si>
  <si>
    <t>12/20/2025</t>
  </si>
  <si>
    <t>RBMP-135</t>
  </si>
  <si>
    <t>Verify Rebate report functionality when click on any member account</t>
  </si>
  <si>
    <t>-
&lt;&lt;valid account&gt;&gt;
-
-
-  [from TC_REBATE_009]</t>
  </si>
  <si>
    <t>- Should show all rebate record of the clicked member with
[No], [transaction date], [Username], [Game name], [Type] [Percentage%], [Turnover], [Membership type], [Increase %], [Rebate amount], [Status], [Expiration Date]
- Should have [Total balance on this page] [Total balance of all page] 
***Note: for each day, the rebate record should grouped by game provider</t>
  </si>
  <si>
    <t>3/24/2026</t>
  </si>
  <si>
    <t>RBMP-136</t>
  </si>
  <si>
    <t>Verify Filter functionality with Date time</t>
  </si>
  <si>
    <t>-
&lt;&lt;valid account&gt;&gt;
-
-
This week
-  [from TC_REBATE_010]</t>
  </si>
  <si>
    <t>- Should show proper data of each member according to selected datetime such as [username], [Member group], [Agent code], [Record amount], [Total valid bet], [Total rebate amount]
- Should show only member account who has rebate record.
- Each member account should be able to click
- Should have [Total balance on this page] [Total balance of all page]</t>
  </si>
  <si>
    <t>RBMP-137</t>
  </si>
  <si>
    <t>Verify Filter functionality with Product Name</t>
  </si>
  <si>
    <t>-
&lt;&lt;valid account&gt;&gt;
-
-
Dream Gaming
-  [from TC_REBATE_011]</t>
  </si>
  <si>
    <t>- Should show proper data of each member according to searched game name such as [username], [Member group], [Agent code], [Record amount], [Total valid bet], [Total rebate amount]
- Should show only member account who has rebate record.
- Each member account should be able to click
- Should have [Total balance on this page] [Total balance of all page]</t>
  </si>
  <si>
    <t>RBMP-138</t>
  </si>
  <si>
    <t>Verify Filter functionality with Type</t>
  </si>
  <si>
    <t>- All as default selected</t>
  </si>
  <si>
    <t>- Type (All for default)  [from TC_REBATE_012]</t>
  </si>
  <si>
    <t>- Should show proper data of each member according to searched game name such as [username], [Member group], [Agent code], [Record amount], [Total valid bet], [Total rebate amount]
- Should show only member account who has rebate record.
- Each member account should be able to click
- Should have [Total balance on this page] [Total balance of all page] 
- Should show only selected Type (Daily / Real Time)</t>
  </si>
  <si>
    <t>RBMP-139</t>
  </si>
  <si>
    <t>Verify Filter functionality with Status</t>
  </si>
  <si>
    <t>-
&lt;&lt;valid account&gt;&gt;
-
-
Settled
-  [from TC_REBATE_012]</t>
  </si>
  <si>
    <t>- Should show proper data of each member according to searched status such as [username], [Member group], [Agent code], [Record amount], [Total valid bet], [Total rebate amount]
- Should show only member account who has rebate record.
- Each member account should be able to click
- Should have [Total balance on this page] [Total balance of all page]</t>
  </si>
  <si>
    <t>RBMP-140</t>
  </si>
  <si>
    <t>Verify Filter functionality with Agent account</t>
  </si>
  <si>
    <t>-
&lt;&lt;valid account&gt;&gt;
-
-
agtest
-  [from TC_REBATE_013]</t>
  </si>
  <si>
    <t>- Should show proper data of each member according to searched agent account such as [username], [Member group], [Agent code], [Record amount], [Total valid bet], [Total rebate amount]
- Should show only member account who has rebate record.
- Each member account should be able to click
- Should have [Total balance on this page] [Total balance of all page]</t>
  </si>
  <si>
    <t>RBMP-141</t>
  </si>
  <si>
    <t>Verify Filter functionality with Invalid agent account</t>
  </si>
  <si>
    <t>-
&lt;&lt;valid account&gt;&gt;
-
-
agtest31231
-  [from TC_REBATE_014]</t>
  </si>
  <si>
    <t>RBMP-142</t>
  </si>
  <si>
    <t>Verify Filter functionality with Username</t>
  </si>
  <si>
    <t>-
&lt;&lt;valid account&gt;&gt;
-
-
thu0108
-  [from TC_REBATE_015]</t>
  </si>
  <si>
    <t>- Should show proper data of each member according to searched username such as such as [username], [Member group], [Agent code], [Record amount], [Total valid bet], [Total rebate amount]
- Should show only member account who has rebate record.
- Each member account should be able to click
- Should have [Total balance on this page] [Total balance of all page]</t>
  </si>
  <si>
    <t>RBMP-143</t>
  </si>
  <si>
    <t>-
&lt;&lt;valid account&gt;&gt;
-
-
dsaa123fff
-  [from TC_REBATE_016]</t>
  </si>
  <si>
    <t>RBMP-144</t>
  </si>
  <si>
    <t>Verify Filter functionality with Member group</t>
  </si>
  <si>
    <t>-
&lt;&lt;valid account&gt;&gt;
-
-
test
-  [from TC_REBATE_016]</t>
  </si>
  <si>
    <t>- Should show proper data of each member according to searched member group such as such as [username], [Member group], [Agent code], [Record amount], [Total valid bet], [Total rebate amount]
- Should show only member account who has rebate record.
- Each member account should be able to click
- Should have [Total balance on this page] [Total balance of all page]</t>
  </si>
  <si>
    <t>12/11/2025</t>
  </si>
  <si>
    <t>RBMP-145</t>
  </si>
  <si>
    <t>Verify Filter functionality with All Type</t>
  </si>
  <si>
    <t>-
&lt;&lt;valid account&gt;&gt;
-
-
All
-  [from TC_REBATE_016]</t>
  </si>
  <si>
    <t>- Should show proper data of each member according to the selected type such as [username], [Member group], [Agent code], [Record amount], [Total valid bet], [Total rebate amount]
- Should show only member account who has rebate record.
- Each member account should be able to click
- Should have [Total balance on this page] [Total balance of all page]</t>
  </si>
  <si>
    <t>RBMP-146</t>
  </si>
  <si>
    <t>Verify Filter functionality with Daily rebate Type</t>
  </si>
  <si>
    <t>-
&lt;&lt;valid account&gt;&gt;
-
-
Daily rebate
-  [from TC_REBATE_016]</t>
  </si>
  <si>
    <t>RBMP-147</t>
  </si>
  <si>
    <t>Verify Filter functionality with Real-time rebate Type</t>
  </si>
  <si>
    <t>-
&lt;&lt;valid account&gt;&gt;
-
-
Real-time rebate
-  [from TC_REBATE_016]</t>
  </si>
  <si>
    <t>RBMP-148</t>
  </si>
  <si>
    <t>Verify Value Display functionality with Real-time rebate Type</t>
  </si>
  <si>
    <t>- T.R of betting is 10
- New member type  [from TC_REBATE_017]</t>
  </si>
  <si>
    <t>- [No] :
- [transaction date] :
- [Username] :
- [Game name] :
- [Type] : {realtime/daily}
- [Percentage%]: 100
- [Turnover] : 100(${currency})
- [Membership type] : --
- [Increase %] : 0
- [Rebate amount] : 100(${currency})
- [Status] :
- [Expiration Date] :</t>
  </si>
  <si>
    <t>RBMP-149</t>
  </si>
  <si>
    <t>- T.R of betting is 10
- Reach Level membership ype  [from TC_REBATE_018]</t>
  </si>
  <si>
    <t>- [No] :
- [transaction date] :
- [Username] :
- [Game name] :
- [Type] : {realtime/daily}
- [Percentage%]: 100
- [Turnover] : 10(${currency})
- [Membership type] : Level 1
- [Increase %] : 0
- [Rebate amount] : 10(${currency})
- [Status] : {Expired / Settled / Unsettle}
- [Expiration Date] :</t>
  </si>
  <si>
    <t>RBMP-150</t>
  </si>
  <si>
    <t>- T.R of betting is 50
- Reach Level membership ype  [from TC_REBATE_019]</t>
  </si>
  <si>
    <t>- [No] :
- [transaction date] :
- [Username] :
- [Game name] :
- [Type] : {realtime/daily}
- [Percentage%]: 100
- [Turnover] : 50(${currency})
- [Membership type] : Level 2
- [Increase %] : 10
- [Rebate amount] : 10(${currency})
- [Status] : {Expired / Settled / Unsettle}
- [Expiration Date] :</t>
  </si>
  <si>
    <t>RBMP-151</t>
  </si>
  <si>
    <t xml:space="preserve">  [from TC_REBATE_020]</t>
  </si>
  <si>
    <t>RBMP-152</t>
  </si>
  <si>
    <t>-
&lt;&lt;valid account&gt;&gt;
-
-
&lt;&lt;filter&gt;&gt;
-  [from TC_REBATE_021]</t>
  </si>
  <si>
    <t>RBMP-153</t>
  </si>
  <si>
    <t>- User should did the filter</t>
  </si>
  <si>
    <t>-
&lt;&lt;valid account&gt;&gt;
-
-
&lt;&lt;filter&gt;&gt;
English  [from TC_REBATE_022]</t>
  </si>
  <si>
    <t>RBMP-154</t>
  </si>
  <si>
    <t xml:space="preserve">  [from TC_REBATE_023]</t>
  </si>
  <si>
    <t>- Table header: No, Transaction date, Username, Game name, Type, Percentage%, Turnover, Rebate amount, Status, Expiration date.</t>
  </si>
  <si>
    <t>Other Category — Test Cases</t>
  </si>
  <si>
    <t>1. CATEGORY LIST</t>
  </si>
  <si>
    <t>OC-LST-001</t>
  </si>
  <si>
    <t>Verify Category List functionality for displaying all categories with correct summary data</t>
  </si>
  <si>
    <t>Category list shows icon, name, games count, status, and order for every category</t>
  </si>
  <si>
    <t>Logged in to the Weibo Empire admin back-office as Super Admin/Admin with access to Product &gt; Other Category. On the Other Category list screen. At least 2 categories exist.</t>
  </si>
  <si>
    <t>1. Navigate to Product &gt; Other Category.
2. Review the category list.</t>
  </si>
  <si>
    <t>Existing categories, e.g. "Popular Games", "Live Casino".</t>
  </si>
  <si>
    <t>Each row shows the correct Icon, Category name, Games count, Status, and Order matching that category's saved configuration.</t>
  </si>
  <si>
    <t>No system state change; the list continues to reflect existing category data.</t>
  </si>
  <si>
    <t>v1.0</t>
  </si>
  <si>
    <t>OC-LST-002</t>
  </si>
  <si>
    <t>Verify Category List functionality for searching the list by category name</t>
  </si>
  <si>
    <t>Search returns only categories matching the entered text</t>
  </si>
  <si>
    <t>Logged in to the Weibo Empire admin back-office as Super Admin/Admin with access to Product &gt; Other Category. On the Other Category list screen.</t>
  </si>
  <si>
    <t>1. Enter a known category name into the search box.
2. Apply the search.</t>
  </si>
  <si>
    <t>Search text matching "Popular".</t>
  </si>
  <si>
    <t>Only categories whose name matches are shown; clearing the search restores the full list.</t>
  </si>
  <si>
    <t>OC-LST-003</t>
  </si>
  <si>
    <t>Verify Category List functionality for filtering by Status</t>
  </si>
  <si>
    <t>Status filter shows only Active or only Inactive categories as selected</t>
  </si>
  <si>
    <t>Logged in to the Weibo Empire admin back-office as Super Admin/Admin with access to Product &gt; Other Category. On the Other Category list screen. A mix of Active and Inactive categories exist.</t>
  </si>
  <si>
    <t>1. Set the status filter to Active.
2. Set it to Inactive.
3. Set it back to All statuses.</t>
  </si>
  <si>
    <t>Mixed-status category set.</t>
  </si>
  <si>
    <t>Each filter shows only categories matching that status; All statuses shows every category.</t>
  </si>
  <si>
    <t>OC-LST-004</t>
  </si>
  <si>
    <t>Verify Category List functionality for previewing category names in a selected language</t>
  </si>
  <si>
    <t>Changing the list's language filter updates the Category name column to that language's translation</t>
  </si>
  <si>
    <t>1. Note the Category name shown for a category under the current language filter.
2. Change the language filter to a different supported language.
3. Re-check the same category's displayed name.</t>
  </si>
  <si>
    <t>Switch from 繁體 to English.</t>
  </si>
  <si>
    <t>The Category name column updates to show that category's name in the newly selected language, without changing any other column.</t>
  </si>
  <si>
    <t>No system state change; only the displayed language changes.</t>
  </si>
  <si>
    <t>OC-LST-005</t>
  </si>
  <si>
    <t>Verify Category List functionality for changing the number of rows shown per page</t>
  </si>
  <si>
    <t>Page-size selector controls how many categories are listed at once</t>
  </si>
  <si>
    <t>Logged in to the Weibo Empire admin back-office as Super Admin/Admin with access to Product &gt; Other Category. On the Other Category list screen. More categories exist than the smallest available page size.</t>
  </si>
  <si>
    <t>1. Change the per-page selector from 50 to a smaller value.
2. Observe the row count and pagination.</t>
  </si>
  <si>
    <t>Per-page = 10 (or smallest available option).</t>
  </si>
  <si>
    <t>The list shows no more than the selected number of rows; pagination updates to match.</t>
  </si>
  <si>
    <t>No system state change; only the displayed page size changes.</t>
  </si>
  <si>
    <t>OC-LST-006</t>
  </si>
  <si>
    <t>Verify Category List functionality for paginating the list</t>
  </si>
  <si>
    <t>Previous/Next controls navigate between pages of categories</t>
  </si>
  <si>
    <t>Logged in to the Weibo Empire admin back-office as Super Admin/Admin with access to Product &gt; Other Category. On the Other Category list screen. More categories exist than fit on one page.</t>
  </si>
  <si>
    <t>1. Click Next.
2. Click Previous.</t>
  </si>
  <si>
    <t>More than one page's worth of categories.</t>
  </si>
  <si>
    <t>"Showing X-Y of Z categories" and the page controls stay accurate on every page.</t>
  </si>
  <si>
    <t>OC-LST-007</t>
  </si>
  <si>
    <t>Verify Category List functionality for keeping the Games count accurate</t>
  </si>
  <si>
    <t>The Games column matches the actual number of games assigned via Manage Games</t>
  </si>
  <si>
    <t>1. Note a category's Games count.
2. Open Manage Games for that category and add one game.
3. Save and return to the list.</t>
  </si>
  <si>
    <t>Add 1 game to a category currently showing "8 games".</t>
  </si>
  <si>
    <t>The Games count updates to "9 games", matching the actual saved assignment count.</t>
  </si>
  <si>
    <t>The category's Games count reflects its current assignment total.</t>
  </si>
  <si>
    <t>OC-LST-008</t>
  </si>
  <si>
    <t>Verify Category List functionality for sorting categories by Display Order</t>
  </si>
  <si>
    <t>Categories are listed in ascending Display Order</t>
  </si>
  <si>
    <t>Logged in to the Weibo Empire admin back-office as Super Admin/Admin with access to Product &gt; Other Category. On the Other Category list screen. At least 3 categories with distinct Order values exist.</t>
  </si>
  <si>
    <t>1. Review the sequence of categories in the list.
2. Compare against each category's saved Order value.</t>
  </si>
  <si>
    <t>Categories with Order 01, 02, 03.</t>
  </si>
  <si>
    <t>Categories appear in ascending Order (lowest number first), consistent with the documented "lower numbers appear first" rule (see AQ-05 for tie-breaking when two categories share a value).</t>
  </si>
  <si>
    <t>No system state change; only the display sequence is verified.</t>
  </si>
  <si>
    <t>2. CREATE OTHER CATEGORY</t>
  </si>
  <si>
    <t>OC-CRT-001</t>
  </si>
  <si>
    <t>Verify Create Category functionality for creating a category with all 12 language names, an icon, and a valid order</t>
  </si>
  <si>
    <t>Create succeeds with a complete, valid category</t>
  </si>
  <si>
    <t>Logged in to the Weibo Empire admin back-office as Super Admin/Admin with access to Product &gt; Other Category. On the Create Other Category screen.</t>
  </si>
  <si>
    <t>1. Enter a name for each of the 12 language tabs.
2. Upload a valid category icon.
3. Set Status = Active and Display order = 05.
4. Click Save &amp; manage games.</t>
  </si>
  <si>
    <t>繁體 name = "熱門遊戲"; English name = "Popular Games"; icon = valid PNG; order = 05.</t>
  </si>
  <si>
    <t>The category is created and the admin is taken to its Manage Games screen; the new category later appears in the list with the correct icon, status, and order.</t>
  </si>
  <si>
    <t>A new Other Category exists in the system, with all entered language names saved.</t>
  </si>
  <si>
    <t>OC-CRT-002</t>
  </si>
  <si>
    <t>Verify Create Category functionality for attempting to save with one or more language names left blank</t>
  </si>
  <si>
    <t>Creating a category while a language tab's name is empty</t>
  </si>
  <si>
    <t>1. Fill in names for 11 of the 12 language tabs, leaving one blank.
2. Attempt to save.</t>
  </si>
  <si>
    <t>Bengali tab left empty.</t>
  </si>
  <si>
    <t>Confirm against AQ-01 whether all 12 names are mandatory; if so, save is blocked with a message naming the incomplete language(s).</t>
  </si>
  <si>
    <t>No new category is created unless a blank language name is confirmed acceptable (see AQ-01).</t>
  </si>
  <si>
    <t>OC-CRT-003</t>
  </si>
  <si>
    <t>Verify Create Category functionality for editing only the active language tab's name field</t>
  </si>
  <si>
    <t>The Category Name input shows and edits only the currently selected language tab</t>
  </si>
  <si>
    <t>1. Select the English tab and note the input field's label and content.
2. Select the 日語 tab and compare.</t>
  </si>
  <si>
    <t>English vs. 日語 tabs.</t>
  </si>
  <si>
    <t>The field label and content change to match whichever tab is active; no other language's name is visible or editable at the same time.</t>
  </si>
  <si>
    <t>No system state change; only the active-tab display is verified.</t>
  </si>
  <si>
    <t>OC-CRT-004</t>
  </si>
  <si>
    <t>Verify Create Category functionality for preserving already-entered names when switching language tabs</t>
  </si>
  <si>
    <t>Entering a name on one tab and switching away does not lose it</t>
  </si>
  <si>
    <t>1. Enter a name on the English tab.
2. Switch to the Spain tab and enter a different name.
3. Switch back to English.</t>
  </si>
  <si>
    <t>English = "Popular Games"; Spain = "Juegos populares".</t>
  </si>
  <si>
    <t>The English tab still shows "Popular Games" after switching away and back; neither tab's value overwrote the other.</t>
  </si>
  <si>
    <t>Both language names remain held in the unsaved form state until Save is clicked.</t>
  </si>
  <si>
    <t>OC-CRT-005</t>
  </si>
  <si>
    <t>Verify Create Category functionality for accepting a PNG category icon</t>
  </si>
  <si>
    <t>Uploading a PNG file for the category icon</t>
  </si>
  <si>
    <t>1. Click Upload category icon.
2. Select a valid .png file.</t>
  </si>
  <si>
    <t>A valid PNG image.</t>
  </si>
  <si>
    <t>The PNG uploads successfully and is shown as the selected icon.</t>
  </si>
  <si>
    <t>The category's icon is set to the uploaded PNG, pending Save.</t>
  </si>
  <si>
    <t>OC-CRT-006</t>
  </si>
  <si>
    <t>Verify Create Category functionality for accepting JPG and SVG category icons</t>
  </si>
  <si>
    <t>Uploading a JPG file, then an SVG file, for the category icon</t>
  </si>
  <si>
    <t>1. Upload a valid .jpg file as the icon.
2. Replace it with a valid .svg file.</t>
  </si>
  <si>
    <t>A valid JPG, then a valid SVG.</t>
  </si>
  <si>
    <t>Both formats upload successfully, consistent with the documented "PNG, JPG or SVG" rule for category icons.</t>
  </si>
  <si>
    <t>The category's icon is set to the most recently uploaded file, pending Save.</t>
  </si>
  <si>
    <t>OC-CRT-007</t>
  </si>
  <si>
    <t>Verify Create Category functionality for rejecting an unsupported category icon file type</t>
  </si>
  <si>
    <t>Attempting to upload a GIF or PDF as the category icon</t>
  </si>
  <si>
    <t>1. Click Upload category icon.
2. Attempt to select a .gif or .pdf file.</t>
  </si>
  <si>
    <t>An unsupported file type, e.g. .gif.</t>
  </si>
  <si>
    <t>The upload is rejected with a message naming the accepted formats (PNG, JPG, SVG).</t>
  </si>
  <si>
    <t>No icon is set from the rejected file; any previously uploaded icon is unchanged.</t>
  </si>
  <si>
    <t>OC-CRT-008</t>
  </si>
  <si>
    <t>Verify Create Category functionality for attempting to save without uploading an icon</t>
  </si>
  <si>
    <t>Creating a category with no icon selected</t>
  </si>
  <si>
    <t>1. Fill in all 12 language names.
2. Leave Upload category icon empty.
3. Attempt to save.</t>
  </si>
  <si>
    <t>No icon file selected.</t>
  </si>
  <si>
    <t>Confirm whether an icon is mandatory; if so, save is blocked with a required-field message.</t>
  </si>
  <si>
    <t>No new category is created unless a missing icon is confirmed acceptable.</t>
  </si>
  <si>
    <t>OC-CRT-009</t>
  </si>
  <si>
    <t>Verify Create Category functionality for rejecting non-numeric input in Display order</t>
  </si>
  <si>
    <t>Entering letters or symbols into the Display order field</t>
  </si>
  <si>
    <t>1. Enter non-numeric text into Display order, e.g. "abc".
2. Attempt to save.</t>
  </si>
  <si>
    <t>Display order = "abc".</t>
  </si>
  <si>
    <t>The field rejects non-numeric input, or save is blocked with a validation message.</t>
  </si>
  <si>
    <t>No new category is created; the order field remains at its prior or default value.</t>
  </si>
  <si>
    <t>OC-CRT-010</t>
  </si>
  <si>
    <t>Verify Create Category functionality for handling a Display order value already used by another category</t>
  </si>
  <si>
    <t>Creating a category with the same Order as an existing one</t>
  </si>
  <si>
    <t>Logged in to the Weibo Empire admin back-office as Super Admin/Admin with access to Product &gt; Other Category. On the Create Other Category screen. Another category already uses Order = 01.</t>
  </si>
  <si>
    <t>1. Set Display order = 01, matching an existing category.
2. Complete the rest validly and save.</t>
  </si>
  <si>
    <t>Order = 01 (duplicate).</t>
  </si>
  <si>
    <t>Confirm against AQ-05 whether duplicate Order values are allowed, auto-renumbered, or blocked, and how the list breaks the tie.</t>
  </si>
  <si>
    <t>System state matches whichever duplicate-order rule is confirmed.</t>
  </si>
  <si>
    <t>OC-CRT-011</t>
  </si>
  <si>
    <t>Verify Create Category functionality for navigating to Manage Games immediately after saving</t>
  </si>
  <si>
    <t>Clicking Save &amp; manage games opens Manage Games for the newly created category</t>
  </si>
  <si>
    <t>1. Complete the form validly.
2. Click Save &amp; manage games.</t>
  </si>
  <si>
    <t>A newly completed category form.</t>
  </si>
  <si>
    <t>The category is saved and the admin lands on the Manage Games screen scoped to this new category, with its name shown in the breadcrumb.</t>
  </si>
  <si>
    <t>The new category exists with zero games assigned until games are selected on the next screen.</t>
  </si>
  <si>
    <t>OC-CRT-012</t>
  </si>
  <si>
    <t>Verify Create Category functionality for discarding a partially-completed form on Cancel</t>
  </si>
  <si>
    <t>Clicking Cancel during Create does not save anything</t>
  </si>
  <si>
    <t>No new category is created; the category list is unchanged.</t>
  </si>
  <si>
    <t>3. EDIT OTHER CATEGORY</t>
  </si>
  <si>
    <t>OC-EDT-001</t>
  </si>
  <si>
    <t>Verify Edit Category functionality for opening an existing category pre-filled</t>
  </si>
  <si>
    <t>Edit loads every saved field correctly, including all 12 language names</t>
  </si>
  <si>
    <t>Logged in to the Weibo Empire admin back-office as Super Admin/Admin with access to Product &gt; Other Category. On the Other Category list screen. An existing category with names in multiple languages is selected for Edit.</t>
  </si>
  <si>
    <t>1. Click Edit on an existing category.
2. Check each of the 12 language tabs, plus icon, status, and order.</t>
  </si>
  <si>
    <t>An existing category, e.g. "Live Casino".</t>
  </si>
  <si>
    <t>Every field is pre-populated exactly as last saved, including the correct name under each language tab.</t>
  </si>
  <si>
    <t>No system state change; the Edit screen simply displays the category's already-saved configuration.</t>
  </si>
  <si>
    <t>OC-EDT-002</t>
  </si>
  <si>
    <t>Verify Edit Category functionality for editing a single language's name without affecting the others</t>
  </si>
  <si>
    <t>Changing only the English name leaves the other 11 languages untouched</t>
  </si>
  <si>
    <t>Logged in to the Weibo Empire admin back-office as Super Admin/Admin with access to Product &gt; Other Category. Editing an existing Other Category.</t>
  </si>
  <si>
    <t>1. Switch to the English tab and change the name.
2. Save.
3. Reopen Edit and check the other language tabs.</t>
  </si>
  <si>
    <t>Change English name only.</t>
  </si>
  <si>
    <t>Only the English name reflects the change; all other language names remain exactly as they were.</t>
  </si>
  <si>
    <t>The category's English name is updated; all other language names are unchanged.</t>
  </si>
  <si>
    <t>OC-EDT-003</t>
  </si>
  <si>
    <t>Verify Edit Category functionality for replacing the category icon</t>
  </si>
  <si>
    <t>Uploading a new icon during Edit replaces the previous one</t>
  </si>
  <si>
    <t>1. Upload a new icon file.
2. Save.</t>
  </si>
  <si>
    <t>A new valid icon file.</t>
  </si>
  <si>
    <t>The category's icon updates to the new file everywhere it's displayed, including the list.</t>
  </si>
  <si>
    <t>The category's icon is replaced; the previous icon file is no longer referenced.</t>
  </si>
  <si>
    <t>OC-EDT-004</t>
  </si>
  <si>
    <t>Verify Edit Category functionality for toggling Status between Active and Inactive</t>
  </si>
  <si>
    <t>Changing Status and saving updates the category's visibility state</t>
  </si>
  <si>
    <t>1. Change Status to Inactive.
2. Save.</t>
  </si>
  <si>
    <t>Toggle Active -&gt; Inactive.</t>
  </si>
  <si>
    <t>The list reflects the new Status immediately; the category stops appearing on the client UI (see Client-Facing Display section).</t>
  </si>
  <si>
    <t>The category's Status is updated to the newly saved value.</t>
  </si>
  <si>
    <t>OC-EDT-005</t>
  </si>
  <si>
    <t>Verify Edit Category functionality for re-sorting the list after a Display order change</t>
  </si>
  <si>
    <t>Lowering a category's Order moves it earlier in the list</t>
  </si>
  <si>
    <t>1. Change Display order to a lower number than currently used by other categories.
2. Save and return to the list.</t>
  </si>
  <si>
    <t>Change Order from 04 to 01.</t>
  </si>
  <si>
    <t>The category now appears earlier in the list, consistent with the ascending-Order sort rule.</t>
  </si>
  <si>
    <t>The category's position in the list reflects its new Order value.</t>
  </si>
  <si>
    <t>OC-EDT-006</t>
  </si>
  <si>
    <t>Verify Edit Category functionality for succeeding on Save when no changes were made</t>
  </si>
  <si>
    <t>Opening Edit and saving immediately without changes</t>
  </si>
  <si>
    <t>1. Open Edit on an existing category.
2. Click Save immediately without changing anything.</t>
  </si>
  <si>
    <t>Save succeeds without error, since nothing was modified.</t>
  </si>
  <si>
    <t>The category's configuration is unchanged.</t>
  </si>
  <si>
    <t>OC-EDT-007</t>
  </si>
  <si>
    <t>Verify Edit Category functionality for discarding changes on Cancel</t>
  </si>
  <si>
    <t>Changing fields and clicking Cancel does not save them</t>
  </si>
  <si>
    <t>1. Change the icon and one language name.
2. Click Cancel.
3. Reopen Edit.</t>
  </si>
  <si>
    <t>Any edited value.</t>
  </si>
  <si>
    <t>The category reflects its last saved state; the cancelled edits are discarded.</t>
  </si>
  <si>
    <t>The category's configuration is unchanged from before the edit attempt.</t>
  </si>
  <si>
    <t>OC-EDT-008</t>
  </si>
  <si>
    <t>Verify Edit Category functionality for the primary save action's label and destination</t>
  </si>
  <si>
    <t>Confirming whether Edit's save button reads "Save" or "Save &amp; manage games", and where it navigates</t>
  </si>
  <si>
    <t>1. Note the exact label of the primary button on the Edit screen.
2. Click it and observe where the admin lands.</t>
  </si>
  <si>
    <t>Confirm against AQ-08 whether Edit behaves like Create (navigating into Manage Games) or saves in place and stays on the category list.</t>
  </si>
  <si>
    <t>System state matches whichever navigation behavior is confirmed for Edit.</t>
  </si>
  <si>
    <t>4. DELETE OTHER CATEGORY</t>
  </si>
  <si>
    <t>OC-DEL-001</t>
  </si>
  <si>
    <t>Verify Delete Category functionality for showing the correct category name and assignment count in the confirmation</t>
  </si>
  <si>
    <t>The delete confirmation names the right category and its true game-assignment count</t>
  </si>
  <si>
    <t>1. Click Delete on a category with a known number of assigned games.
2. Read the confirmation dialog.</t>
  </si>
  <si>
    <t>A category showing "8 games" in the list.</t>
  </si>
  <si>
    <t>The dialog names that exact category and states "8 game assignments will be removed", matching the list's Games count.</t>
  </si>
  <si>
    <t>No system state change; only the confirmation dialog's content is verified.</t>
  </si>
  <si>
    <t>OC-DEL-002</t>
  </si>
  <si>
    <t>Verify Delete Category functionality for removing the category once deletion is confirmed</t>
  </si>
  <si>
    <t>Clicking Delete category in the confirmation removes it from the list</t>
  </si>
  <si>
    <t>1. Click Delete on a category.
2. Confirm by clicking Delete category.</t>
  </si>
  <si>
    <t>Any existing test category.</t>
  </si>
  <si>
    <t>The category no longer appears in the Other Category list.</t>
  </si>
  <si>
    <t>The category no longer exists in the system.</t>
  </si>
  <si>
    <t>OC-DEL-003</t>
  </si>
  <si>
    <t>Verify Delete Category functionality for allowing the delete confirmation to be cancelled</t>
  </si>
  <si>
    <t>Clicking Cancel in the confirmation dialog does not delete the category</t>
  </si>
  <si>
    <t>1. Click Delete on a category.
2. Click Cancel in the confirmation dialog.</t>
  </si>
  <si>
    <t>The category remains in the list, fully unchanged.</t>
  </si>
  <si>
    <t>The category remains in the system, fully unchanged.</t>
  </si>
  <si>
    <t>OC-DEL-004</t>
  </si>
  <si>
    <t>Verify Delete Category functionality for keeping underlying games available after their category is deleted</t>
  </si>
  <si>
    <t>A game that was assigned to a deleted category still exists and can be assigned elsewhere</t>
  </si>
  <si>
    <t>Logged in to the Weibo Empire admin back-office as Super Admin/Admin with access to Product &gt; Other Category. On the Other Category list screen. A category with at least one assigned game is selected for deletion.</t>
  </si>
  <si>
    <t>1. Note a game assigned to the category about to be deleted.
2. Delete the category.
3. Open Manage Games for a different category and search for that same game.</t>
  </si>
  <si>
    <t>A game such as "Horse Racing" assigned to the deleted category.</t>
  </si>
  <si>
    <t>The game is still findable and selectable, consistent with the documented rule that underlying games and their global records remain available.</t>
  </si>
  <si>
    <t>The deleted category's game assignments are removed, but the games themselves remain in the system, unaffected.</t>
  </si>
  <si>
    <t>OC-DEL-005</t>
  </si>
  <si>
    <t>Verify Delete Category functionality for the fate of per-assignment banners once a category is deleted</t>
  </si>
  <si>
    <t>Checking whether banners uploaded for the deleted category's game assignments are removed or retained</t>
  </si>
  <si>
    <t>Logged in to the Weibo Empire admin back-office as Super Admin/Admin with access to Product &gt; Other Category. On the Other Category list screen. A category with at least one game that has an uploaded banner is selected for deletion.</t>
  </si>
  <si>
    <t>1. Delete the category.
2. Re-add the same game to a different (or the same, if re-created) category.</t>
  </si>
  <si>
    <t>A game with a previously uploaded banner, e.g. "Boxing Yes / No".</t>
  </si>
  <si>
    <t>Confirm against AQ-03 whether the old banner is gone (a fresh upload is required) or was retained and reused for the new assignment.</t>
  </si>
  <si>
    <t>System state matches whichever banner-retention rule is confirmed.</t>
  </si>
  <si>
    <t>OC-DEL-006</t>
  </si>
  <si>
    <t>Verify Delete Category functionality for deleting a category that has no games assigned</t>
  </si>
  <si>
    <t>Deleting a category showing "0 games" in the list</t>
  </si>
  <si>
    <t>Logged in to the Weibo Empire admin back-office as Super Admin/Admin with access to Product &gt; Other Category. On the Other Category list screen. A category with 0 assigned games exists, e.g. "New Releases".</t>
  </si>
  <si>
    <t>1. Click Delete on the zero-game category.
2. Read the confirmation wording.
3. Confirm the deletion.</t>
  </si>
  <si>
    <t>"New Releases", 0 games.</t>
  </si>
  <si>
    <t>The confirmation states 0 game assignments will be removed (or omits that line); the category is deleted without error.</t>
  </si>
  <si>
    <t>5. MANAGE GAMES / GAME ASSIGNMENT</t>
  </si>
  <si>
    <t>OC-GAM-001</t>
  </si>
  <si>
    <t>Verify Manage Games functionality for updating the selected-games counter when a game is selected</t>
  </si>
  <si>
    <t>Selecting an unselected game increments "N games selected"</t>
  </si>
  <si>
    <t>Logged in to the Weibo Empire admin back-office as Super Admin/Admin with access to Product &gt; Other Category. On the Manage Games screen for an existing category.</t>
  </si>
  <si>
    <t>1. Note the current "N games selected" count.
2. Click Select game on an unselected row.</t>
  </si>
  <si>
    <t>An unselected game, e.g. "Lucky Pick 3".</t>
  </si>
  <si>
    <t>The counter increments by 1 and the row's state changes to Selected.</t>
  </si>
  <si>
    <t>The game is now part of this category's selected-games list, pending Save.</t>
  </si>
  <si>
    <t>OC-GAM-002</t>
  </si>
  <si>
    <t>Verify Manage Games functionality for updating the counter when a game is deselected</t>
  </si>
  <si>
    <t>Deselecting a previously selected game decrements the counter</t>
  </si>
  <si>
    <t>Logged in to the Weibo Empire admin back-office as Super Admin/Admin with access to Product &gt; Other Category. On the Manage Games screen for an existing category. At least one game is currently selected.</t>
  </si>
  <si>
    <t>1. Deselect a currently selected game.</t>
  </si>
  <si>
    <t>A selected game, e.g. "Horse Racing".</t>
  </si>
  <si>
    <t>The counter decrements by 1 and the row's state changes to Not selected.</t>
  </si>
  <si>
    <t>The game is removed from this category's selected-games list, pending Save.</t>
  </si>
  <si>
    <t>OC-GAM-003</t>
  </si>
  <si>
    <t>Verify Manage Games functionality for searching the game list by name</t>
  </si>
  <si>
    <t>Search returns only games matching the entered text</t>
  </si>
  <si>
    <t>1. Enter a known game name into Search games.</t>
  </si>
  <si>
    <t>Search text matching "Horse".</t>
  </si>
  <si>
    <t>Only matching games are shown; clearing the search restores the full list.</t>
  </si>
  <si>
    <t>OC-GAM-004</t>
  </si>
  <si>
    <t>Verify Manage Games functionality for filtering by a specific game</t>
  </si>
  <si>
    <t>The "All games" filter narrows the list to a chosen game</t>
  </si>
  <si>
    <t>1. Change the game filter from All games to a specific game.</t>
  </si>
  <si>
    <t>Filter = "Live Sports".</t>
  </si>
  <si>
    <t>Only that game's row is shown.</t>
  </si>
  <si>
    <t>OC-GAM-005</t>
  </si>
  <si>
    <t>Verify Manage Games functionality for filtering by provider</t>
  </si>
  <si>
    <t>The "All providers" filter narrows the list to a chosen provider</t>
  </si>
  <si>
    <t>Logged in to the Weibo Empire admin back-office as Super Admin/Admin with access to Product &gt; Other Category. On the Manage Games screen for an existing category. Games from at least two providers exist, e.g. Weibo Sports and Weibo Lottery.</t>
  </si>
  <si>
    <t>1. Change the provider filter from All providers to a specific provider.</t>
  </si>
  <si>
    <t>Filter = "Weibo Lottery".</t>
  </si>
  <si>
    <t>Only games from that provider are shown, e.g. "Lucky Pick 3".</t>
  </si>
  <si>
    <t>OC-GAM-006</t>
  </si>
  <si>
    <t>Verify Manage Games functionality for allowing a game to be selected in more than one category</t>
  </si>
  <si>
    <t>A game already assigned to one category can still be selected in a different category</t>
  </si>
  <si>
    <t>Logged in to the Weibo Empire admin back-office as Super Admin/Admin with access to Product &gt; Other Category. On the Manage Games screen for an existing category. The game being selected is already assigned to a different category.</t>
  </si>
  <si>
    <t>1. Open Manage Games for a second category.
2. Select a game that is already assigned to a first category.
3. Save.</t>
  </si>
  <si>
    <t>A game such as "Horse Racing", already in "Popular Games".</t>
  </si>
  <si>
    <t>The game is accepted into the second category too, consistent with the documented rule that a game may appear in multiple Other Categories.</t>
  </si>
  <si>
    <t>The game is now assigned to both categories, each with its own independent banner assignment.</t>
  </si>
  <si>
    <t>OC-GAM-007</t>
  </si>
  <si>
    <t>Verify Manage Games functionality for blocking Save while a selected game still needs a banner</t>
  </si>
  <si>
    <t>Attempting to Save with the "1 selected game still needs a banner" warning showing</t>
  </si>
  <si>
    <t>Logged in to the Weibo Empire admin back-office as Super Admin/Admin with access to Product &gt; Other Category. On the Manage Games screen for an existing category. At least one selected game has no banner uploaded.</t>
  </si>
  <si>
    <t>1. Select a game without uploading a banner for it.
2. Click Save.</t>
  </si>
  <si>
    <t>A selected game with no banner, e.g. "Live Sports".</t>
  </si>
  <si>
    <t>Confirm against AQ-02 whether Save is hard-blocked until every selected game has a banner, or allowed through with the warning still visible afterward.</t>
  </si>
  <si>
    <t>System state matches whichever validation rule is confirmed for Save.</t>
  </si>
  <si>
    <t>OC-GAM-008</t>
  </si>
  <si>
    <t>Verify Manage Games functionality for saving successfully once all selected games have banners</t>
  </si>
  <si>
    <t>Save completes when the banner-required warning is fully cleared</t>
  </si>
  <si>
    <t>1. Ensure every selected game has an uploaded banner.
2. Click Save.</t>
  </si>
  <si>
    <t>All selected games have banners.</t>
  </si>
  <si>
    <t>Save completes without the banner-required warning, and the assignment is persisted.</t>
  </si>
  <si>
    <t>The category's game and banner assignments are saved as configured.</t>
  </si>
  <si>
    <t>OC-GAM-009</t>
  </si>
  <si>
    <t>Verify Manage Games functionality for the fate of a banner when its game is deselected</t>
  </si>
  <si>
    <t>Deselecting a game that already has an uploaded banner</t>
  </si>
  <si>
    <t>Logged in to the Weibo Empire admin back-office as Super Admin/Admin with access to Product &gt; Other Category. On the Manage Games screen for an existing category. A selected game already has an uploaded banner.</t>
  </si>
  <si>
    <t>1. Deselect a game that currently has a banner.
2. Re-select the same game without leaving the screen.</t>
  </si>
  <si>
    <t>A previously selected game with a banner.</t>
  </si>
  <si>
    <t>Confirm whether the banner is discarded on deselect (requiring a fresh upload on re-select) or silently retained for the session.</t>
  </si>
  <si>
    <t>System state matches whichever retention rule is confirmed.</t>
  </si>
  <si>
    <t>OC-GAM-010</t>
  </si>
  <si>
    <t>Verify Manage Games functionality for discarding selection changes on Cancel</t>
  </si>
  <si>
    <t>Selecting/deselecting games and clicking Cancel does not save the changes</t>
  </si>
  <si>
    <t>1. Select one new game and deselect one existing game.
2. Click Cancel.
3. Reopen Manage Games for the same category.</t>
  </si>
  <si>
    <t>Any selection change.</t>
  </si>
  <si>
    <t>The category's game assignments reflect their last saved state; the cancelled changes are discarded.</t>
  </si>
  <si>
    <t>The category's game assignments are unchanged from before the edit attempt.</t>
  </si>
  <si>
    <t>6. UPLOAD &amp; REPLACE GAME BANNER</t>
  </si>
  <si>
    <t>OC-BAN-001</t>
  </si>
  <si>
    <t>Verify Upload Game Banner functionality for accepting a valid WEBP file</t>
  </si>
  <si>
    <t>Uploading a WEBP banner for a selected game</t>
  </si>
  <si>
    <t>Logged in to the Weibo Empire admin back-office as Super Admin/Admin with access to Product &gt; Other Category. On the Manage Games screen for an existing category. Uploading a banner for a selected game.</t>
  </si>
  <si>
    <t>1. Click Upload banner on a selected game with no banner yet.
2. Choose a valid .webp file.
3. Click Save banner.</t>
  </si>
  <si>
    <t>A valid WEBP image, roughly 4:3.</t>
  </si>
  <si>
    <t>The banner uploads successfully and is shown as that game's assignment-specific banner.</t>
  </si>
  <si>
    <t>The selected game's banner for this category assignment is set to the uploaded file.</t>
  </si>
  <si>
    <t>OC-BAN-002</t>
  </si>
  <si>
    <t>Verify Upload Game Banner functionality for accepting a valid JPG file</t>
  </si>
  <si>
    <t>Uploading a JPG banner for a selected game</t>
  </si>
  <si>
    <t>1. Choose a valid .jpg file.
2. Click Save banner.</t>
  </si>
  <si>
    <t>A valid JPG image.</t>
  </si>
  <si>
    <t>The banner uploads successfully, consistent with the documented "WEBP or JPG" rule.</t>
  </si>
  <si>
    <t>OC-BAN-003</t>
  </si>
  <si>
    <t>Verify Upload Game Banner functionality for rejecting an unsupported file type</t>
  </si>
  <si>
    <t>Attempting to upload a PNG or GIF as a game banner</t>
  </si>
  <si>
    <t>1. Attempt to choose a .png or .gif file for the banner.</t>
  </si>
  <si>
    <t>A PNG file (not accepted for banners, unlike category icons).</t>
  </si>
  <si>
    <t>The upload is rejected with a message naming the accepted formats (WEBP, JPG) — note this differs from the category icon's PNG/JPG/SVG rule.</t>
  </si>
  <si>
    <t>No banner is set from the rejected file; any previously uploaded banner is unchanged.</t>
  </si>
  <si>
    <t>OC-BAN-004</t>
  </si>
  <si>
    <t>Verify Upload Game Banner functionality for handling an image that doesn't match the recommended aspect ratio</t>
  </si>
  <si>
    <t>Uploading a banner far from the recommended 4:3 ratio</t>
  </si>
  <si>
    <t>1. Choose a valid-format image with a very different aspect ratio, e.g. a tall 9:16 image.
2. Click Save banner.</t>
  </si>
  <si>
    <t>A 9:16 WEBP image.</t>
  </si>
  <si>
    <t>Confirm against AQ-04 whether the 4:3 ratio is enforced (upload blocked or the image is cropped) or purely a recommendation that's accepted as-is.</t>
  </si>
  <si>
    <t>System state matches whichever aspect-ratio rule is confirmed.</t>
  </si>
  <si>
    <t>OC-BAN-005</t>
  </si>
  <si>
    <t>Verify Upload Game Banner functionality for replacing an already-uploaded banner</t>
  </si>
  <si>
    <t>Clicking Replace banner on a game that already has one</t>
  </si>
  <si>
    <t>1. Click Replace banner on a game with an existing banner.
2. Upload a different valid file.
3. Save banner.</t>
  </si>
  <si>
    <t>A new WEBP file replacing an existing banner.</t>
  </si>
  <si>
    <t>The old banner is overwritten; the new file is shown as the current banner for that assignment.</t>
  </si>
  <si>
    <t>The selected game's banner for this category assignment is updated to the new file.</t>
  </si>
  <si>
    <t>OC-BAN-006</t>
  </si>
  <si>
    <t>Verify Upload Game Banner functionality for scoping a banner upload to a single category assignment</t>
  </si>
  <si>
    <t>Uploading a banner for a game in one category does not change that same game's banner in a different category</t>
  </si>
  <si>
    <t>Logged in to the Weibo Empire admin back-office as Super Admin/Admin with access to Product &gt; Other Category. On the Manage Games screen for an existing category. Uploading a banner for a selected game. The same game is also assigned, with its own banner, to a different category.</t>
  </si>
  <si>
    <t>1. Upload a new banner for the game inside Category A.
2. Open Manage Games for Category B, which also has this game.
3. Check that game's banner there.</t>
  </si>
  <si>
    <t>A game assigned to both "Popular Games" and another category.</t>
  </si>
  <si>
    <t>Category B's banner for the game is unchanged; only Category A's assignment reflects the new upload, consistent with the documented "replaces only" scoping.</t>
  </si>
  <si>
    <t>Only the targeted category's banner assignment for that game is updated; all other assignments of the same game are unaffected.</t>
  </si>
  <si>
    <t>OC-BAN-007</t>
  </si>
  <si>
    <t>Verify Upload Game Banner functionality for discarding an upload on Cancel</t>
  </si>
  <si>
    <t>Selecting a file and clicking Cancel does not save the banner</t>
  </si>
  <si>
    <t>1. Choose a valid file in the upload dialog.
2. Click Cancel instead of Save banner.</t>
  </si>
  <si>
    <t>Any valid banner file.</t>
  </si>
  <si>
    <t>No banner is saved; the game's banner (or lack of one) remains as it was before opening the dialog.</t>
  </si>
  <si>
    <t>The selected game's banner assignment is unchanged from before the upload attempt.</t>
  </si>
  <si>
    <t>OC-BAN-008</t>
  </si>
  <si>
    <t>Verify Upload Game Banner functionality for accepting a drag-and-dropped file the same as a chosen one</t>
  </si>
  <si>
    <t>Dragging a valid file onto the drop zone behaves the same as "choose a file"</t>
  </si>
  <si>
    <t>1. Drag a valid WEBP file onto the drop zone instead of using "choose a file".
2. Click Save banner.</t>
  </si>
  <si>
    <t>A valid WEBP image, dragged in.</t>
  </si>
  <si>
    <t>The banner uploads and saves identically to the file-picker flow.</t>
  </si>
  <si>
    <t>The selected game's banner for this category assignment is set to the dragged-in file.</t>
  </si>
  <si>
    <t>OC-BAN-009</t>
  </si>
  <si>
    <t>Verify Upload Game Banner functionality for handling an oversized file</t>
  </si>
  <si>
    <t>Attempting to upload a banner file above the maximum accepted size</t>
  </si>
  <si>
    <t>1. Attempt to upload a very large valid-format file.
2. Observe the result.</t>
  </si>
  <si>
    <t>An oversized WEBP or JPG file.</t>
  </si>
  <si>
    <t>Confirm the maximum accepted file size against AQ-06; oversized files should be rejected with a clear message rather than failing silently or timing out.</t>
  </si>
  <si>
    <t>No banner is set from a rejected oversized file; any previously uploaded banner is unchanged.</t>
  </si>
  <si>
    <t>OC-BAN-010</t>
  </si>
  <si>
    <t>Verify Upload Game Banner functionality for clearing the "banner required" warning once a banner is uploaded</t>
  </si>
  <si>
    <t>The per-game and overall banner-required warnings disappear after a successful upload</t>
  </si>
  <si>
    <t>Logged in to the Weibo Empire admin back-office as Super Admin/Admin with access to Product &gt; Other Category. On the Manage Games screen for an existing category. A selected game currently shows "! Banner required".</t>
  </si>
  <si>
    <t>1. Upload a valid banner for that game.
2. Save the banner.
3. Return to the Manage Games screen.</t>
  </si>
  <si>
    <t>A game previously flagged with "! Banner required".</t>
  </si>
  <si>
    <t>That game's row no longer shows the warning, and the overall "N selected game(s) still need a banner" message updates or disappears accordingly.</t>
  </si>
  <si>
    <t>The selected game's banner requirement is satisfied; the warning no longer applies to it.</t>
  </si>
  <si>
    <t>7. ACCESS CONTROL</t>
  </si>
  <si>
    <t>OC-ACC-001</t>
  </si>
  <si>
    <t>Verify Access Control functionality for granting Super Admin full access to Other Category management</t>
  </si>
  <si>
    <t>Super Admin can Create, Edit, Delete categories and manage games/banners</t>
  </si>
  <si>
    <t>1. Navigate to Product &gt; Other Category.
2. Attempt Create, Edit, Delete, Manage games, and Upload banner.</t>
  </si>
  <si>
    <t>Every action attempted completes and is reflected in the system's data.</t>
  </si>
  <si>
    <t>OC-ACC-002</t>
  </si>
  <si>
    <t>Verify Access Control functionality for defining the Admin role's access level to Other Category management</t>
  </si>
  <si>
    <t>Admin attempts the same actions as Super Admin</t>
  </si>
  <si>
    <t>1. Navigate to Product &gt; Other Category.
2. Attempt the same Create/Edit/Delete/Manage games actions as Super Admin.</t>
  </si>
  <si>
    <t>Confirm against AQ-07 whether Admin has full parity with Super Admin or a restricted subset.</t>
  </si>
  <si>
    <t>System state matches whichever actions are confirmed permitted for Admin.</t>
  </si>
  <si>
    <t>OC-ACC-003</t>
  </si>
  <si>
    <t>Verify Access Control functionality for blocking Agent-role access to Other Category admin setup</t>
  </si>
  <si>
    <t>Agent role cannot access Other Category management</t>
  </si>
  <si>
    <t>1. Check the side navigation for Product &gt; Other Category.
2. Attempt to navigate directly to the Other Category URL.</t>
  </si>
  <si>
    <t>No Other Category data is created, modified, or deleted; the Agent's session remains restricted.</t>
  </si>
  <si>
    <t>OC-ACC-004</t>
  </si>
  <si>
    <t>Verify Access Control functionality for blocking ordinary-user access to Other Category admin setup</t>
  </si>
  <si>
    <t>Ordinary user cannot access Other Category management</t>
  </si>
  <si>
    <t>1. Repeat OC-ACC-003's steps for the user role.</t>
  </si>
  <si>
    <t>Same protection as OC-ACC-003 applies to the user role.</t>
  </si>
  <si>
    <t>No Other Category data is created, modified, or deleted; the user's session remains restricted.</t>
  </si>
  <si>
    <t>OC-ACC-005</t>
  </si>
  <si>
    <t>Verify Access Control functionality for blocking a direct deep-link without the proper role</t>
  </si>
  <si>
    <t>Direct deep-link to Create/Edit/Manage Games URLs without the proper role</t>
  </si>
  <si>
    <t>Logged in as a role without Other Category admin rights.</t>
  </si>
  <si>
    <t>1. Obtain the Create, Edit, or Manage Games screen's URL from a Super Admin session.
2. Paste it directly into a browser logged in as a lower-privileged role.</t>
  </si>
  <si>
    <t>Direct URL to the Create Other Category screen.</t>
  </si>
  <si>
    <t>No Other Category data is created, modified, or deleted; the unauthorized session is redirected or denied.</t>
  </si>
  <si>
    <t>8. LOCALIZATION</t>
  </si>
  <si>
    <t>OC-I18N-001</t>
  </si>
  <si>
    <t>Verify Localization functionality for presenting all 12 supported language tabs correctly on Create/Edit</t>
  </si>
  <si>
    <t>All 12 language tabs are present, labeled, and selectable</t>
  </si>
  <si>
    <t>1. Count and read the label of every language tab.
2. Select each tab in turn.</t>
  </si>
  <si>
    <t>The 12 supported languages.</t>
  </si>
  <si>
    <t>Exactly 12 tabs are shown, correctly labeled, and each becomes active and editable when selected.</t>
  </si>
  <si>
    <t>No system state change; only the tab set is verified.</t>
  </si>
  <si>
    <t>OC-I18N-002</t>
  </si>
  <si>
    <t>Verify Localization functionality for keeping the admin UI's own language independent of category-name language tabs</t>
  </si>
  <si>
    <t>Switching the admin UI's display language does not change which category-name tab is active</t>
  </si>
  <si>
    <t>1. Select the Spain tab for the category name.
2. Switch the admin UI's own language selector (top right) to a different language.
3. Check which category-name tab is still active.</t>
  </si>
  <si>
    <t>Admin UI language switched from English to 繁體.</t>
  </si>
  <si>
    <t>The Spain category-name tab remains selected and its entered text is untouched; only the admin chrome's language changes.</t>
  </si>
  <si>
    <t>No system state change; only independence between the two language settings is verified.</t>
  </si>
  <si>
    <t>OC-I18N-003</t>
  </si>
  <si>
    <t>Verify Localization functionality for rendering the client-facing category name in the user's selected language</t>
  </si>
  <si>
    <t>Client UI shows the category name matching the end user's chosen language</t>
  </si>
  <si>
    <t>A category with distinct names saved for at least two languages.</t>
  </si>
  <si>
    <t>1. View the category on the client platform with the language set to English.
2. Switch the client's language to 繁體.
3. Compare the displayed category name.</t>
  </si>
  <si>
    <t>English = "Popular Games"; 繁體 = "熱門遊戲".</t>
  </si>
  <si>
    <t>The client UI shows the correct name for whichever language is currently selected.</t>
  </si>
  <si>
    <t>No system state change; only the client-side rendered name is verified.</t>
  </si>
  <si>
    <t>OC-I18N-004</t>
  </si>
  <si>
    <t>Verify Localization functionality for the fallback when a language has no saved category name</t>
  </si>
  <si>
    <t>Client behavior for a language whose name field was left blank on admin side</t>
  </si>
  <si>
    <t>A category saved with one language's name left blank (assuming AQ-01 allows this).</t>
  </si>
  <si>
    <t>1. View the category on the client platform under the language with no saved name.</t>
  </si>
  <si>
    <t>A category with e.g. Bengali left blank.</t>
  </si>
  <si>
    <t>Confirm against AQ-09 what the client shows for that language — blank, a default/base-language fallback, or the category hidden entirely for that language's users.</t>
  </si>
  <si>
    <t>No system state change; only the fallback behavior is verified.</t>
  </si>
  <si>
    <t>OC-I18N-005</t>
  </si>
  <si>
    <t>Verify Localization functionality for rendering static admin labels correctly in English and Chinese</t>
  </si>
  <si>
    <t>Buttons, hints, and warnings on the Other Category screens render correctly in both admin UI languages</t>
  </si>
  <si>
    <t>1. Review every label, button, hint, and warning across the List, Create, Edit, Delete, and Manage Games screens in English.
2. Repeat with the admin UI language set to 繁體.</t>
  </si>
  <si>
    <t>Admin UI language = English, then 繁體.</t>
  </si>
  <si>
    <t>No missing translation keys, placeholder text, or truncated labels appear on any screen in either language.</t>
  </si>
  <si>
    <t>9. CLIENT-FACING DISPLAY</t>
  </si>
  <si>
    <t>OC-CLI-001</t>
  </si>
  <si>
    <t>Verify Client-Facing Display functionality for showing only Active categories to end users</t>
  </si>
  <si>
    <t>Inactive categories are excluded from the client-facing list</t>
  </si>
  <si>
    <t>A mix of Active and Inactive categories exist.</t>
  </si>
  <si>
    <t>1. View the Other Category section on the client platform.
2. Compare against the admin-side Status of each category.</t>
  </si>
  <si>
    <t>Only categories with Status = Active are visible to the end user.</t>
  </si>
  <si>
    <t>No system state change; only client-side visibility is verified.</t>
  </si>
  <si>
    <t>OC-CLI-002</t>
  </si>
  <si>
    <t>Verify Client-Facing Display functionality for fully hiding Inactive categories</t>
  </si>
  <si>
    <t>An Inactive category does not appear anywhere on the client UI, including deep links</t>
  </si>
  <si>
    <t>An Inactive category exists.</t>
  </si>
  <si>
    <t>1. Attempt to reach the Inactive category via the client UI's normal navigation.
2. Attempt any direct client-side link to it, if one is known.</t>
  </si>
  <si>
    <t>An Inactive test category.</t>
  </si>
  <si>
    <t>The category is not reachable through normal navigation; a direct link either 404s or redirects rather than displaying it.</t>
  </si>
  <si>
    <t>OC-CLI-003</t>
  </si>
  <si>
    <t>Verify Client-Facing Display functionality for rendering categories in ascending Display Order</t>
  </si>
  <si>
    <t>Client-facing category order matches the admin-configured Order</t>
  </si>
  <si>
    <t>At least 3 Active categories with distinct Order values exist.</t>
  </si>
  <si>
    <t>1. View the Other Category section on the client platform.
2. Compare the displayed sequence to each category's admin-side Order.</t>
  </si>
  <si>
    <t>Categories render in the same ascending-Order sequence as the admin list.</t>
  </si>
  <si>
    <t>No system state change; only client-side ordering is verified.</t>
  </si>
  <si>
    <t>OC-CLI-004</t>
  </si>
  <si>
    <t>Verify Client-Facing Display functionality for a category with zero assigned games</t>
  </si>
  <si>
    <t>Client-side behavior for an Active category that has no games</t>
  </si>
  <si>
    <t>An Active category with 0 assigned games exists.</t>
  </si>
  <si>
    <t>1. View the client platform's Other Category section.
2. Check whether the zero-game category appears.</t>
  </si>
  <si>
    <t>An Active, 0-game category.</t>
  </si>
  <si>
    <t>Confirm against AQ-10 whether an empty Active category is shown (as an empty section) or automatically hidden despite being Active.</t>
  </si>
  <si>
    <t>No system state change; only client-side behavior for this edge case is verified.</t>
  </si>
  <si>
    <t>OC-CLI-005</t>
  </si>
  <si>
    <t>Verify Client-Facing Display functionality for rendering the category icon correctly</t>
  </si>
  <si>
    <t>The uploaded category icon displays correctly on the client UI</t>
  </si>
  <si>
    <t>A category with an uploaded icon exists.</t>
  </si>
  <si>
    <t>1. View the category on the client platform.
2. Compare the rendered icon to the one uploaded in admin.</t>
  </si>
  <si>
    <t>A category with a distinct icon, e.g. a flame icon for "Popular Games".</t>
  </si>
  <si>
    <t>The correct icon renders at an appropriate size without distortion.</t>
  </si>
  <si>
    <t>No system state change; only client-side icon rendering is verified.</t>
  </si>
  <si>
    <t>OC-CLI-006</t>
  </si>
  <si>
    <t>Verify Client-Facing Display functionality for showing each game's own per-assignment banner</t>
  </si>
  <si>
    <t>A game's banner on the client UI matches the one uploaded for that specific category assignment</t>
  </si>
  <si>
    <t>A category with at least one game that has an uploaded banner exists.</t>
  </si>
  <si>
    <t>1. View the category on the client platform.
2. Compare the displayed game banner to the one uploaded in Manage Games.</t>
  </si>
  <si>
    <t>A game such as "Horse Racing" with a known uploaded banner.</t>
  </si>
  <si>
    <t>The exact uploaded banner image renders for that game within that category.</t>
  </si>
  <si>
    <t>No system state change; only client-side banner rendering is verified.</t>
  </si>
  <si>
    <t>OC-CLI-007</t>
  </si>
  <si>
    <t>Verify Client-Facing Display functionality for showing the correct distinct banner when a game appears in multiple categories</t>
  </si>
  <si>
    <t>The same game shows a different, correct banner in each category it belongs to</t>
  </si>
  <si>
    <t>The same game is assigned to two different categories with two different banners uploaded.</t>
  </si>
  <si>
    <t>1. View the game within Category A on the client platform.
2. View the same game within Category B.</t>
  </si>
  <si>
    <t>A game assigned to both "Popular Games" and another category, each with its own banner.</t>
  </si>
  <si>
    <t>Category A shows Category A's uploaded banner; Category B shows Category B's uploaded banner — never the wrong one.</t>
  </si>
  <si>
    <t>No system state change; only per-assignment client-side banner correctness is verified.</t>
  </si>
  <si>
    <t>OC-CLI-008</t>
  </si>
  <si>
    <t>Verify Client-Facing Display functionality for removing a deleted category from the client UI immediately</t>
  </si>
  <si>
    <t>Deleting a category on admin side removes it from the client platform without delay</t>
  </si>
  <si>
    <t>An Active category visible on the client platform.</t>
  </si>
  <si>
    <t>1. Confirm the category is visible on the client platform.
2. Delete the category in admin.
3. Refresh the client platform.</t>
  </si>
  <si>
    <t>Any Active test category.</t>
  </si>
  <si>
    <t>The category no longer appears on the client UI after the admin-side deletion.</t>
  </si>
  <si>
    <t>The category no longer exists in the system, on either admin or client side.</t>
  </si>
  <si>
    <t>OC-CLI-009</t>
  </si>
  <si>
    <t>Verify Client-Facing Display functionality for reflecting the correct localized category name for the viewer</t>
  </si>
  <si>
    <t>A client user viewing in a given language always sees that language's saved category name</t>
  </si>
  <si>
    <t>A category with distinct names saved per language.</t>
  </si>
  <si>
    <t>1. View the category as a client user with the language set to Vietnam.
2. Compare the displayed name to the Vietnamese name saved in admin.</t>
  </si>
  <si>
    <t>Vietnamese category name as saved in admin.</t>
  </si>
  <si>
    <t>The client UI shows the exact name saved for the viewer's selected language.</t>
  </si>
  <si>
    <t>No system state change; only client-side localized rendering is verified.</t>
  </si>
  <si>
    <t>OC-CLI-010</t>
  </si>
  <si>
    <t>Verify Client-Facing Display functionality for the fallback when a game has no uploaded banner</t>
  </si>
  <si>
    <t>Client-side behavior for a selected game whose banner was never uploaded</t>
  </si>
  <si>
    <t>A category is saved (or force-saved) with a selected game lacking a banner, per whichever rule AQ-02 confirms.</t>
  </si>
  <si>
    <t>1. View that category on the client platform.
2. Check how the bannerless game renders, if it renders at all.</t>
  </si>
  <si>
    <t>A selected game with no banner.</t>
  </si>
  <si>
    <t>Confirm against AQ-02 and AQ-06 whether the client shows a placeholder image, omits the game entirely, or whether this state is actually unreachable because Save is blocked first.</t>
  </si>
  <si>
    <t>No system state change; only the client-side fallback behavior is verified.</t>
  </si>
  <si>
    <t>10. REGRESSION &amp; DATA INTEGRITY</t>
  </si>
  <si>
    <t>OC-REG-001</t>
  </si>
  <si>
    <t>Verify Regression functionality for keeping global game records intact after a category is deleted</t>
  </si>
  <si>
    <t>Deleting a category does not corrupt or remove the underlying global game catalog</t>
  </si>
  <si>
    <t>A category with assigned games is deleted.</t>
  </si>
  <si>
    <t>1. Note the full global game catalog before deletion.
2. Delete a category with several assigned games.
3. Compare the global game catalog afterward.</t>
  </si>
  <si>
    <t>Global game catalog snapshot before/after.</t>
  </si>
  <si>
    <t>The global game catalog is identical in count and detail before and after; only the deleted category's assignments are gone.</t>
  </si>
  <si>
    <t>The global game catalog remains fully intact; no game records are lost or altered.</t>
  </si>
  <si>
    <t>OC-REG-002</t>
  </si>
  <si>
    <t>Verify Regression functionality for keeping a game correctly assigned to its other categories after one category is deleted</t>
  </si>
  <si>
    <t>A multi-category game loses only the deleted category's assignment, keeping the rest</t>
  </si>
  <si>
    <t>A game assigned to two categories, one of which is about to be deleted.</t>
  </si>
  <si>
    <t>1. Confirm a game is assigned to both Category A and Category B.
2. Delete Category A.
3. Check the game's assignment to Category B.</t>
  </si>
  <si>
    <t>A game in both "Popular Games" and a second category.</t>
  </si>
  <si>
    <t>The game remains correctly assigned to Category B, with Category B's banner intact, after Category A is deleted.</t>
  </si>
  <si>
    <t>Only the deleted category's assignment is removed; the game's other category assignments are unaffected.</t>
  </si>
  <si>
    <t>OC-REG-003</t>
  </si>
  <si>
    <t>Verify Regression functionality for isolating Order and Status changes to the edited category only</t>
  </si>
  <si>
    <t>Changing one category's Order or Status does not alter any other category's saved values</t>
  </si>
  <si>
    <t>At least 3 categories exist.</t>
  </si>
  <si>
    <t>1. Note the Order and Status of two categories not being edited.
2. Change a third category's Order and Status and save.
3. Re-check the two untouched categories.</t>
  </si>
  <si>
    <t>Three categories, only one edited.</t>
  </si>
  <si>
    <t>The two untouched categories retain their original Order and Status values exactly.</t>
  </si>
  <si>
    <t>Only the edited category's Order and Status change; all other categories are unaffected.</t>
  </si>
  <si>
    <t>OC-REG-004</t>
  </si>
  <si>
    <t>Verify Regression functionality for handling concurrent edits to the same category by two admins</t>
  </si>
  <si>
    <t>Two admin sessions editing the same category at nearly the same time</t>
  </si>
  <si>
    <t>Two Super Admin/Admin sessions are open on the same category's Edit screen.</t>
  </si>
  <si>
    <t>1. In Session A, change the icon and save.
2. In Session B, opened before Session A saved, change a language name and save shortly after.</t>
  </si>
  <si>
    <t>Two concurrent edit sessions on the same category.</t>
  </si>
  <si>
    <t>Confirm whether the second save overwrites the first entirely (last-write-wins), merges the two sets of changes, or is rejected with a conflict message — this should be a deliberate, documented behavior, not undefined.</t>
  </si>
  <si>
    <t>System state matches whichever concurrency rule is confirmed.</t>
  </si>
  <si>
    <t>Notification — Test Cases</t>
  </si>
  <si>
    <t>1. NOTIFICATION LIST</t>
  </si>
  <si>
    <t>NOT-LST-001</t>
  </si>
  <si>
    <t>Verify Notification List functionality for displaying all configured notifications with correct summary data</t>
  </si>
  <si>
    <t>List shows ID, Title, Type, Agent Group, Member Group, Schedule, Timer, Status, and Created At for every notification</t>
  </si>
  <si>
    <t>Logged in to the Weibo merchant admin back-office as Super Admin/Admin with access to Tool &gt; Notification. On the Notification tab. At least 2 notifications exist.</t>
  </si>
  <si>
    <t>1. Navigate to Tool &gt; Notification.
2. Review the notification list.</t>
  </si>
  <si>
    <t>Existing notifications, e.g. "Daily mission promotion reminder", "VIP upgrade notification alert".</t>
  </si>
  <si>
    <t>Each row shows the correct ID, Title, Type, Agent Group, Member Group, Schedule, Timer, Status, and Created At matching that notification's saved configuration.</t>
  </si>
  <si>
    <t>No system state change; the list continues to reflect existing notification data.</t>
  </si>
  <si>
    <t>2026-09-23 00:00:00</t>
  </si>
  <si>
    <t>NOT-LST-002</t>
  </si>
  <si>
    <t>Verify Notification List functionality for filtering by Status</t>
  </si>
  <si>
    <t>Status filter shows only Active or only Inactive notifications as selected</t>
  </si>
  <si>
    <t>Logged in to the Weibo merchant admin back-office as Super Admin/Admin with access to Tool &gt; Notification. On the Notification tab. A mix of Active and Inactive notifications exist.</t>
  </si>
  <si>
    <t>1. Set the status filter to Active.
2. Set it to Inactive.</t>
  </si>
  <si>
    <t>Mixed-status notification set.</t>
  </si>
  <si>
    <t>Each filter shows only notifications matching that status.</t>
  </si>
  <si>
    <t>NOT-LST-003</t>
  </si>
  <si>
    <t>Verify Notification List functionality for filtering by Type</t>
  </si>
  <si>
    <t>The Type filter only ever shows System, since Deposit/Withdraw don't have admin-created rules under this screen</t>
  </si>
  <si>
    <t>Logged in to the Weibo merchant admin back-office as Super Admin/Admin with access to Tool &gt; Notification. On the Notification tab. Notifications of more than one Type exist.</t>
  </si>
  <si>
    <t>1. Change the Type filter from All to a specific type.</t>
  </si>
  <si>
    <t>Filter = "System".</t>
  </si>
  <si>
    <t>Confirmed (2026-09-26): this screen (Admin/Tool/Notification) only manages System-type, Non-Event-Trigger notifications. Deposit and Withdraw are separate, no-setup-required automatic notifications with no admin-created rules here — so filtering by Deposit or Withdraw here should show zero results (or the options may not appear at all), resolving AQ-01.</t>
  </si>
  <si>
    <t>v1.3</t>
  </si>
  <si>
    <t>2026-09-26 00:00:00</t>
  </si>
  <si>
    <t>NOT-LST-004</t>
  </si>
  <si>
    <t>Verify Notification List functionality for previewing the Title in a selected language</t>
  </si>
  <si>
    <t>Changing the list's language filter updates the displayed Title to that language's translation</t>
  </si>
  <si>
    <t>Logged in to the Weibo merchant admin back-office as Super Admin/Admin with access to Tool &gt; Notification. On the Notification tab.</t>
  </si>
  <si>
    <t>1. Note the Title shown for a notification under the current language filter.
2. Change the language filter to a different supported language.
3. Re-check the same notification's displayed Title.</t>
  </si>
  <si>
    <t>The Title column updates to that notification's title in the newly selected language, without changing any other column.</t>
  </si>
  <si>
    <t>NOT-LST-005</t>
  </si>
  <si>
    <t>Verify Notification List functionality for changing the number of rows shown per page</t>
  </si>
  <si>
    <t>Page-size selector controls how many notifications are listed at once</t>
  </si>
  <si>
    <t>Logged in to the Weibo merchant admin back-office as Super Admin/Admin with access to Tool &gt; Notification. On the Notification tab. More notifications exist than the smallest available page size.</t>
  </si>
  <si>
    <t>1. Change the per-page selector from 50 to a smaller value.</t>
  </si>
  <si>
    <t>NOT-LST-006</t>
  </si>
  <si>
    <t>Verify Notification List functionality for paginating the list</t>
  </si>
  <si>
    <t>Previous/Next controls navigate between pages of notifications</t>
  </si>
  <si>
    <t>Logged in to the Weibo merchant admin back-office as Super Admin/Admin with access to Tool &gt; Notification. On the Notification tab. More notifications exist than fit on one page.</t>
  </si>
  <si>
    <t>1. Click Next.
2. Click Prev.</t>
  </si>
  <si>
    <t>More than one page's worth of notifications.</t>
  </si>
  <si>
    <t>The page controls and entry count stay accurate on every page.</t>
  </si>
  <si>
    <t>NOT-LST-007</t>
  </si>
  <si>
    <t>Verify Notification List functionality for opening the correct notification for editing</t>
  </si>
  <si>
    <t>Clicking the edit icon on a row opens that exact notification pre-filled</t>
  </si>
  <si>
    <t>1. Click the edit (pencil) icon on a specific notification row.</t>
  </si>
  <si>
    <t>A specific notification, e.g. "Weekend deposit bonus reminder".</t>
  </si>
  <si>
    <t>The Add/Edit form opens pre-filled with that exact notification's saved data.</t>
  </si>
  <si>
    <t>No system state change; only navigation to the correct record is verified.</t>
  </si>
  <si>
    <t>NOT-LST-008</t>
  </si>
  <si>
    <t>Verify Notification List functionality for displaying "All" when a notification targets every Agent/Member Group</t>
  </si>
  <si>
    <t>A broadcast notification's Agent Group and Member Group columns both read "All"</t>
  </si>
  <si>
    <t>Logged in to the Weibo merchant admin back-office as Super Admin/Admin with access to Tool &gt; Notification. On the Notification tab. A notification configured to target all groups exists, e.g. "Maintenance window heads-up notice".</t>
  </si>
  <si>
    <t>1. Locate the broadcast notification in the list.
2. Check its Agent Group and Member Group columns.</t>
  </si>
  <si>
    <t>"Maintenance window heads-up notice".</t>
  </si>
  <si>
    <t>Both columns read "All", distinct from notifications targeting specific named groups.</t>
  </si>
  <si>
    <t>No system state change; only the display of broadcast targeting is verified.</t>
  </si>
  <si>
    <t>NOT-LST-009</t>
  </si>
  <si>
    <t>Verify Notification List functionality for how a Weekly-scheduled notification's Schedule is displayed</t>
  </si>
  <si>
    <t>The list shows the configured Week day alongside "Weekly", e.g. "Weekly (Sunday)"</t>
  </si>
  <si>
    <t>Logged in to the Weibo merchant admin back-office as Super Admin/Admin with access to Tool &gt; Notification. On the Notification tab. A Weekly-scheduled notification exists.</t>
  </si>
  <si>
    <t>1. Locate a Weekly-scheduled notification in the list.
2. Check its Schedule column.</t>
  </si>
  <si>
    <t>A Weekly notification set for Sunday.</t>
  </si>
  <si>
    <t>Confirmed (2026-09-26): the Schedule column reads "Weekly (Sunday)" style, including the configured day, not "Weekly" alone — resolving AQ-19.</t>
  </si>
  <si>
    <t>No system state change; only the list's display format for Weekly notifications is verified.</t>
  </si>
  <si>
    <t>2. CREATE NOTIFICATION</t>
  </si>
  <si>
    <t>NOT-CRT-001</t>
  </si>
  <si>
    <t>Verify Create Notification functionality for creating a Daily-scheduled notification with all required fields valid</t>
  </si>
  <si>
    <t>Create succeeds with Title, Content, and Link filled, a valid Timer, and at least one target group</t>
  </si>
  <si>
    <t>Logged in to the Weibo merchant admin back-office as Super Admin/Admin with access to Tool &gt; Notification. On the Add Notification screen.</t>
  </si>
  <si>
    <t>1. Enter Title, Content, and Link for the 繁體 tab.
2. Set Type = System, Schedule = Daily, Timer = 12 AM, Status = Active.
3. Select at least one Agent Group and one Member Group.
4. Click Save Notification.</t>
  </si>
  <si>
    <t>Title = "Daily mission promotion reminder"; Schedule = Daily; Timer = 12 AM.</t>
  </si>
  <si>
    <t>The notification is created and appears in the Notification list with the correct Schedule and Timer.</t>
  </si>
  <si>
    <t>A new notification rule exists in the system, configured to fire daily at the specified time.</t>
  </si>
  <si>
    <t>NOT-CRT-002</t>
  </si>
  <si>
    <t>Verify Create Notification functionality for attempting to save with the required Title left blank</t>
  </si>
  <si>
    <t>Leaving Title empty on the active language tab blocks Save</t>
  </si>
  <si>
    <t>1. Leave Title blank on the 繁體 tab.
2. Fill Content and Link.
3. Attempt to save.</t>
  </si>
  <si>
    <t>Title = "".</t>
  </si>
  <si>
    <t>Save is blocked with a required-field message, consistent with Title's red-asterisk marking.</t>
  </si>
  <si>
    <t>No new notification is created.</t>
  </si>
  <si>
    <t>NOT-CRT-003</t>
  </si>
  <si>
    <t>Verify Create Notification functionality for attempting to save with the required Content left blank</t>
  </si>
  <si>
    <t>Leaving Content empty on the active language tab blocks Save</t>
  </si>
  <si>
    <t>1. Leave Content blank on the 繁體 tab.
2. Fill Title and Link.
3. Attempt to save.</t>
  </si>
  <si>
    <t>Content = "".</t>
  </si>
  <si>
    <t>Save is blocked with a required-field message.</t>
  </si>
  <si>
    <t>NOT-CRT-004</t>
  </si>
  <si>
    <t>Verify Create Notification functionality for attempting to save with the required Link left blank</t>
  </si>
  <si>
    <t>Leaving Link empty on the active language tab blocks Save</t>
  </si>
  <si>
    <t>1. Leave Link blank on the 繁體 tab.
2. Fill Title and Content.
3. Attempt to save.</t>
  </si>
  <si>
    <t>Link = "".</t>
  </si>
  <si>
    <t>NOT-CRT-005</t>
  </si>
  <si>
    <t>Verify Create Notification functionality for rejecting an invalid Link URL</t>
  </si>
  <si>
    <t>Entering a malformed URL into Link</t>
  </si>
  <si>
    <t>1. Enter a malformed value into Link, e.g. "not a url".
2. Attempt to save.</t>
  </si>
  <si>
    <t>Link = "not a url".</t>
  </si>
  <si>
    <t>Confirmed (2026-09-26): Save is blocked with a validation message, since Link must be a well-formed URL — resolving AQ-05.</t>
  </si>
  <si>
    <t>No new notification is created; the Link field remains at its prior or default value.</t>
  </si>
  <si>
    <t>NOT-CRT-006</t>
  </si>
  <si>
    <t>Verify Create Notification functionality for requiring Title/Content/Link across all 12 language tabs, or only the active one</t>
  </si>
  <si>
    <t>Saving with only a non-mandatory language filled (e.g. 日語), leaving the required English, 简体, and 繁體 tabs blank</t>
  </si>
  <si>
    <t>1. Complete Title/Content/Link only for the 繁體 tab.
2. Leave all other 11 language tabs blank.
3. Attempt to save.</t>
  </si>
  <si>
    <t>Only 日語 completed; English, 简体, and 繁體 left blank.</t>
  </si>
  <si>
    <t>Corrected (2026-09-26): Save is blocked. English, 简体, and 繁體 are the three specifically required languages — filling a non-mandatory language alone does not satisfy the requirement, resolving AQ-02.</t>
  </si>
  <si>
    <t>No new notification is created until English, 简体, and 繁體 all have content.</t>
  </si>
  <si>
    <t>NOT-CRT-007</t>
  </si>
  <si>
    <t>Verify Create Notification functionality for saving successfully once the two mandatory languages are filled</t>
  </si>
  <si>
    <t>English, 简体, and 繁體 are sufficient to save; the other 9 languages need no content or Override</t>
  </si>
  <si>
    <t>1. Complete Title/Content/Link for English and for 简体.
2. Leave the other 10 language tabs blank.
3. Click Save Notification.</t>
  </si>
  <si>
    <t>English, 简体, and 繁體 completed; all other 9 languages left blank.</t>
  </si>
  <si>
    <t>Corrected (2026-09-26): Save succeeds. English, 简体, and 繁體 are the three required languages; the other 9 are genuinely optional and don't need Override or manual entry.</t>
  </si>
  <si>
    <t>A new notification exists with content in English, 简体, and 繁體 only; the other 9 languages have no saved content unless later added.</t>
  </si>
  <si>
    <t>NOT-CRT-008</t>
  </si>
  <si>
    <t>Verify Create Notification functionality for requiring both mandatory languages independently</t>
  </si>
  <si>
    <t>Filling only two of the three required languages (English, 简体) while leaving the third (繁體) blank still blocks Save</t>
  </si>
  <si>
    <t>1. Complete Title/Content/Link for English only.
2. Leave 简体 (and the other 10 languages) blank.
3. Attempt to save.</t>
  </si>
  <si>
    <t>English and 简体 completed; 繁體 left blank.</t>
  </si>
  <si>
    <t>Corrected (2026-09-26): Save is blocked. All three of English, 简体, and 繁體 are independently required — completing only two of the three is not sufficient.</t>
  </si>
  <si>
    <t>NOT-CRT-009</t>
  </si>
  <si>
    <t>Verify Create Notification functionality for preserving already-entered content when switching language tabs</t>
  </si>
  <si>
    <t>Entering content on one tab and switching away does not lose it</t>
  </si>
  <si>
    <t>1. Enter Title/Content/Link on the English tab.
2. Switch to the Spain tab and enter different content.
3. Switch back to English.</t>
  </si>
  <si>
    <t>English and Spain tabs both populated.</t>
  </si>
  <si>
    <t>The English tab's content is still intact after switching away and back; neither tab overwrote the other.</t>
  </si>
  <si>
    <t>Both language versions remain held in the unsaved form state until Save is clicked.</t>
  </si>
  <si>
    <t>NOT-CRT-010</t>
  </si>
  <si>
    <t>Verify Create Notification functionality for the "Override above contents to" option copying content to a single chosen language</t>
  </si>
  <si>
    <t>Checking one specific language under Override copies the active tab's Title/Content to that language</t>
  </si>
  <si>
    <t>1. Complete Title and Content on the 繁體 tab.
2. Under "Override above contents to:", check only English.
3. Switch to the English tab.</t>
  </si>
  <si>
    <t>繁體 content copied to English via Override.</t>
  </si>
  <si>
    <t>The English tab now shows the same Title/Content that was entered on 繁體, without needing to type it again.</t>
  </si>
  <si>
    <t>The notification's English content matches the 繁體 content it was overridden from, pending Save.</t>
  </si>
  <si>
    <t>v1.1</t>
  </si>
  <si>
    <t>NOT-CRT-011</t>
  </si>
  <si>
    <t>Verify Create Notification functionality for the "All languages" Override option copying content to every language tab at once</t>
  </si>
  <si>
    <t>Checking "All languages" propagates the active tab's content to all 12 tabs in one action</t>
  </si>
  <si>
    <t>1. Complete Title and Content on the 繁體 tab.
2. Check "All languages" under Override.
3. Spot-check three other language tabs.</t>
  </si>
  <si>
    <t>繁體 content overridden to all 12 languages.</t>
  </si>
  <si>
    <t>Every language tab now shows the same content as 繁體 — this is likely the intended answer to AQ-02's mandatory-language question: type once and override, rather than 12 manual entries.</t>
  </si>
  <si>
    <t>The notification's content is identical across all 12 languages, pending Save.</t>
  </si>
  <si>
    <t>NOT-CRT-012</t>
  </si>
  <si>
    <t>Verify Create Notification functionality for still being able to customize a language's content after it was set via Override</t>
  </si>
  <si>
    <t>Editing one overridden language's content afterward does not revert or affect the others</t>
  </si>
  <si>
    <t>Logged in to the Weibo merchant admin back-office as Super Admin/Admin with access to Tool &gt; Notification. On the Add Notification screen. Content was already copied to all languages via Override.</t>
  </si>
  <si>
    <t>1. After using "All languages" Override, switch to the Spain tab.
2. Change its Content to something different.
3. Switch to another language tab, e.g. English.</t>
  </si>
  <si>
    <t>Spain content customized after an All-languages Override.</t>
  </si>
  <si>
    <t>Spain shows the newly customized content; English (and the rest) still shows the originally overridden content, unaffected by the Spain-specific edit.</t>
  </si>
  <si>
    <t>Spain's content diverges from the others; all other overridden languages remain as they were set.</t>
  </si>
  <si>
    <t>NOT-CRT-013</t>
  </si>
  <si>
    <t>Verify Create Notification functionality for Override taking effect immediately in the form, before Save is clicked</t>
  </si>
  <si>
    <t>The copied content appears on the target language tab(s) right away, not only after saving</t>
  </si>
  <si>
    <t>1. Complete content on 繁體.
2. Check one Override language.
3. Without clicking Save, switch directly to that language's tab.</t>
  </si>
  <si>
    <t>Unsaved Override action.</t>
  </si>
  <si>
    <t>The target tab already shows the copied content before Save is clicked, confirming Override is a form-level action, not a server-side one.</t>
  </si>
  <si>
    <t>No system state change; only the in-form behavior of Override before Save is verified.</t>
  </si>
  <si>
    <t>NOT-CRT-014</t>
  </si>
  <si>
    <t>Verify Create Notification functionality for disabling Timer when Schedule is set to Once</t>
  </si>
  <si>
    <t>Changing Schedule to Once clears or disables the Timer field</t>
  </si>
  <si>
    <t>1. Set Schedule to Once.
2. Observe the Timer field's state.</t>
  </si>
  <si>
    <t>Schedule = Once.</t>
  </si>
  <si>
    <t>Timer becomes disabled and shows "—", consistent with a one-time notification not needing a recurring time-of-day.</t>
  </si>
  <si>
    <t>No system state change; only the conditional field behavior is verified.</t>
  </si>
  <si>
    <t>NOT-CRT-015</t>
  </si>
  <si>
    <t>Verify Create Notification functionality for enabling Timer when Schedule is Daily or Weekly</t>
  </si>
  <si>
    <t>Timer accepts a time-of-day value when a recurring Schedule is selected</t>
  </si>
  <si>
    <t>1. Set Schedule to Daily and set Timer to a specific time.
2. Repeat with Schedule = Weekly.</t>
  </si>
  <si>
    <t>Schedule = Daily, Timer = 12 AM; then Schedule = Weekly, Timer = 08 PM.</t>
  </si>
  <si>
    <t>Timer is editable and its selected value is saved correctly for both recurring schedule types.</t>
  </si>
  <si>
    <t>The notification's Timer reflects the selected time for its recurring schedule.</t>
  </si>
  <si>
    <t>NOT-CRT-016</t>
  </si>
  <si>
    <t>Verify Create Notification functionality for revealing a Week day field when Schedule is set to Weekly</t>
  </si>
  <si>
    <t>Selecting Weekly adds a Week day selector alongside Timer</t>
  </si>
  <si>
    <t>1. Set Schedule to Weekly.
2. Observe the fields shown between Schedule and Timer.</t>
  </si>
  <si>
    <t>Schedule = Weekly.</t>
  </si>
  <si>
    <t>A Week day dropdown appears in addition to Timer, consistent with the documented "weekly type need setup week day and timer" rule.</t>
  </si>
  <si>
    <t>NOT-CRT-017</t>
  </si>
  <si>
    <t>Verify Create Notification functionality for requiring a Week day when Schedule is Weekly</t>
  </si>
  <si>
    <t>Attempting to save a Weekly notification without selecting a Week day</t>
  </si>
  <si>
    <t>1. Set Schedule to Weekly.
2. Leave Week day unselected, if that's possible.
3. Set a Timer.
4. Attempt to save.</t>
  </si>
  <si>
    <t>Schedule = Weekly, Week day = unselected.</t>
  </si>
  <si>
    <t>Confirmed (2026-09-26): Save is blocked without a Week day. The field is a single-select covering any of the 7 days of the week (not a multi-select) — resolving AQ-17.</t>
  </si>
  <si>
    <t>No new notification is created until exactly one Week day is selected.</t>
  </si>
  <si>
    <t>NOT-CRT-018</t>
  </si>
  <si>
    <t>Verify Create Notification functionality for Timer offering only whole-hour selections</t>
  </si>
  <si>
    <t>Timer is confirmed to use hour-level granularity (e.g. 12 AM, 1 AM ... 11 PM), with no minute-level precision available</t>
  </si>
  <si>
    <t>1. Open the Timer dropdown for a Daily or Weekly notification.
2. Review the available options.</t>
  </si>
  <si>
    <t>Timer options such as 12 AM, 08 PM, 03 AM.</t>
  </si>
  <si>
    <t>Confirmed (2026-09-26): Timer offers exact whole-hour options only — there is no way to schedule a send at a specific minute within an hour.</t>
  </si>
  <si>
    <t>No system state change; only the Timer field's available granularity is verified.</t>
  </si>
  <si>
    <t>NOT-CRT-019</t>
  </si>
  <si>
    <t>Verify Create Notification functionality for hiding the Week day field when Schedule is changed away from Weekly</t>
  </si>
  <si>
    <t>Switching Schedule from Weekly to Once or Daily removes the Week day field</t>
  </si>
  <si>
    <t>Logged in to the Weibo merchant admin back-office as Super Admin/Admin with access to Tool &gt; Notification. On the Add Notification screen. Schedule is currently Weekly with a Week day selected.</t>
  </si>
  <si>
    <t>1. Set Schedule to Weekly and select a Week day.
2. Change Schedule to Daily.
3. Observe the Week day field.</t>
  </si>
  <si>
    <t>Schedule: Weekly -&gt; Daily.</t>
  </si>
  <si>
    <t>The Week day field disappears (or disables), consistent with Week day being meaningful only for the Weekly schedule type.</t>
  </si>
  <si>
    <t>NOT-CRT-020</t>
  </si>
  <si>
    <t>Verify Create Notification functionality for "Select all" moving every Agent into Selected</t>
  </si>
  <si>
    <t>Clicking Select all on Agent Group moves every available Agent</t>
  </si>
  <si>
    <t>1. Click Select all above the Agent Group Available list.</t>
  </si>
  <si>
    <t>All available Agent Groups.</t>
  </si>
  <si>
    <t>Every available Agent Group moves into Selected; individual items can still be removed afterward.</t>
  </si>
  <si>
    <t>No system state change; only the on-screen selection is affected, pending Save.</t>
  </si>
  <si>
    <t>NOT-CRT-021</t>
  </si>
  <si>
    <t>Verify Create Notification functionality for individually moving and clearing Member Group selections</t>
  </si>
  <si>
    <t>Using the single-arrow and clear-all controls on Member Group</t>
  </si>
  <si>
    <t>1. Move one Member Group from Available to Selected using the single arrow.
2. Click the clear-all («) control.</t>
  </si>
  <si>
    <t>Any single Member Group.</t>
  </si>
  <si>
    <t>The item moves as expected, and clear-all empties the Selected column entirely.</t>
  </si>
  <si>
    <t>NOT-CRT-022</t>
  </si>
  <si>
    <t>Verify Create Notification functionality for attempting to save with no Agent Group or Member Group selected</t>
  </si>
  <si>
    <t>Saving with both Selected columns empty</t>
  </si>
  <si>
    <t>1. Leave both Agent Group and Member Group Selected columns empty.
2. Complete the rest validly.
3. Attempt to save.</t>
  </si>
  <si>
    <t>No groups selected.</t>
  </si>
  <si>
    <t>Confirmed (2026-09-26): Save is blocked. At least one Agent Group and one Member Group are mandatory targets, resolving AQ-07.</t>
  </si>
  <si>
    <t>No new notification is created until at least one Agent Group and one Member Group are selected.</t>
  </si>
  <si>
    <t>NOT-CRT-023</t>
  </si>
  <si>
    <t>Verify Create Notification functionality for creating a notification with Status set to Inactive</t>
  </si>
  <si>
    <t>An Inactive notification is not sent, even once its schedule/Timer would otherwise fire</t>
  </si>
  <si>
    <t>1. Complete the form validly with Status = Inactive.
2. Save.
3. Wait past the configured Timer, if Schedule is recurring.
4. Check Record History for this notification.</t>
  </si>
  <si>
    <t>Status = Inactive.</t>
  </si>
  <si>
    <t>Confirmed (2026-09-26): Inactive notifications are not sent. No Record History entry is created while the notification remains Inactive, resolving AQ-16 — the earlier "status 'Active' or 'inactive' can push notification" note did not mean Inactive notifications fire.</t>
  </si>
  <si>
    <t>No Record History entry is created for the notification while it remains Inactive.</t>
  </si>
  <si>
    <t>v1.2</t>
  </si>
  <si>
    <t>NOT-CRT-024</t>
  </si>
  <si>
    <t>Verify Create Notification functionality for a Once-scheduled notification automatically becoming Inactive after it fires</t>
  </si>
  <si>
    <t>A Once notification's Status changes from Active to Inactive by itself once its single send completes</t>
  </si>
  <si>
    <t>1. Create a notification with Schedule = Once and Status = Active.
2. Save and allow it to fire.
3. Check its Status in the Notification list afterward.</t>
  </si>
  <si>
    <t>A Once-scheduled, Active notification.</t>
  </si>
  <si>
    <t>The notification's Status shows Inactive after firing, without an admin manually changing it, consistent with the documented rule that status changes to Inactive when the notification's schedule ends.</t>
  </si>
  <si>
    <t>The notification's Status is Inactive, reflecting that its one-time schedule has ended.</t>
  </si>
  <si>
    <t>NOT-CRT-025</t>
  </si>
  <si>
    <t>Verify Create Notification functionality for whether Daily or Weekly notifications ever auto-transition to Inactive</t>
  </si>
  <si>
    <t>Daily and Weekly notifications have no end-date/occurrence-limit field and never auto-transition to Inactive</t>
  </si>
  <si>
    <t>1. Create a Daily (or Weekly) notification.
2. Look for any end-date or occurrence-count field that would define when its "schedule ends."
3. If none exists, let it run and confirm it stays Active indefinitely.</t>
  </si>
  <si>
    <t>A Daily-scheduled notification with no visible end-date field.</t>
  </si>
  <si>
    <t>Confirmed (2026-09-26): an end-date/occurrence-limit field is not in scope. Daily and Weekly notifications have no defined "schedule end" and remain Active indefinitely until an admin manually deactivates them — the auto-Inactive behavior is specific to Once-type notifications, resolving AQ-18.</t>
  </si>
  <si>
    <t>The Daily/Weekly notification remains Active and continues firing on its schedule with no built-in expiry.</t>
  </si>
  <si>
    <t>NOT-CRT-026</t>
  </si>
  <si>
    <t>Verify Create Notification functionality for discarding a partially-completed form on Cancel</t>
  </si>
  <si>
    <t>Clicking Cancel during Add Notification does not save anything</t>
  </si>
  <si>
    <t>No new notification is created; the notification list is unchanged.</t>
  </si>
  <si>
    <t>3. EDIT NOTIFICATION</t>
  </si>
  <si>
    <t>NOT-EDT-001</t>
  </si>
  <si>
    <t>Verify Edit Notification functionality for opening an existing notification pre-filled</t>
  </si>
  <si>
    <t>Edit loads every saved field correctly, including all 12 language tabs</t>
  </si>
  <si>
    <t>Logged in to the Weibo merchant admin back-office as Super Admin/Admin with access to Tool &gt; Notification. On the Notification tab. An existing notification with content in multiple languages is selected for Edit.</t>
  </si>
  <si>
    <t>1. Click the edit icon on an existing notification.
2. Check each of the 12 language tabs, plus Type, Schedule, Timer, Status, and target groups.</t>
  </si>
  <si>
    <t>An existing notification, e.g. "VIP upgrade notification alert".</t>
  </si>
  <si>
    <t>Every field is pre-populated exactly as last saved, including the correct content under each language tab.</t>
  </si>
  <si>
    <t>No system state change; the Edit screen simply displays the notification's already-saved configuration.</t>
  </si>
  <si>
    <t>NOT-EDT-002</t>
  </si>
  <si>
    <t>Verify Edit Notification functionality for editing a single language's Content without affecting the others</t>
  </si>
  <si>
    <t>Changing only the English content leaves the other 11 languages untouched</t>
  </si>
  <si>
    <t>Logged in to the Weibo merchant admin back-office as Super Admin/Admin with access to Tool &gt; Notification. Editing an existing notification.</t>
  </si>
  <si>
    <t>1. Switch to the English tab and change the Content.
2. Save.
3. Reopen Edit and check the other language tabs.</t>
  </si>
  <si>
    <t>Change English content only.</t>
  </si>
  <si>
    <t>Only the English content reflects the change; all other language content remains exactly as it was.</t>
  </si>
  <si>
    <t>The notification's English content is updated; all other language content is unchanged.</t>
  </si>
  <si>
    <t>NOT-EDT-003</t>
  </si>
  <si>
    <t>Verify Edit Notification functionality for changing Schedule from Once to Daily and setting a Timer</t>
  </si>
  <si>
    <t>Editing a one-time notification into a recurring one</t>
  </si>
  <si>
    <t>1. Change Schedule from Once to Daily.
2. Set a Timer value.
3. Save.</t>
  </si>
  <si>
    <t>Schedule: Once -&gt; Daily; Timer = 09 AM.</t>
  </si>
  <si>
    <t>The notification now recurs daily at the configured time going forward.</t>
  </si>
  <si>
    <t>The notification's Schedule and Timer are updated to the newly saved values.</t>
  </si>
  <si>
    <t>NOT-EDT-004</t>
  </si>
  <si>
    <t>Verify Edit Notification functionality for the effect of setting Status to Inactive on a recurring notification</t>
  </si>
  <si>
    <t>Setting an Active recurring notification to Inactive stops it from firing</t>
  </si>
  <si>
    <t>1. Change Status to Inactive on a Daily-scheduled notification.
2. Save.
3. Check Record History after the next scheduled Timer passes.</t>
  </si>
  <si>
    <t>An Active Daily notification set to Inactive.</t>
  </si>
  <si>
    <t>Confirmed (2026-09-26): no new Record History entry appears after the notification is set Inactive — Inactive reliably blocks sending, resolving AQ-16.</t>
  </si>
  <si>
    <t>The notification's Status is Inactive; it produces no further Record History entries until reactivated.</t>
  </si>
  <si>
    <t>NOT-EDT-005</t>
  </si>
  <si>
    <t>Verify Edit Notification functionality for leaving historical Record History entries unaffected when target groups are changed</t>
  </si>
  <si>
    <t>Changing a notification's Agent/Member Group targets does not retroactively alter already-sent Record History entries</t>
  </si>
  <si>
    <t>Logged in to the Weibo merchant admin back-office as Super Admin/Admin with access to Tool &gt; Notification. Editing an existing notification. The notification has at least one existing Record History entry.</t>
  </si>
  <si>
    <t>1. Note the Agent Group and Member Group shown on an existing Record History entry for this notification.
2. Edit the notification and change its Agent Group/Member Group targets.
3. Save.
4. Re-open the same historical Record History entry.</t>
  </si>
  <si>
    <t>Change target groups after a prior send exists.</t>
  </si>
  <si>
    <t>Confirmed (2026-09-26): the historical entry keeps its original, as-sent target groups. Changing a notification's Agent/Member Group targets afterward has no effect on any Record History entry that was already created, resolving AQ-06.</t>
  </si>
  <si>
    <t>The edited notification's current targets change going forward; every existing Record History entry keeps the target groups it was actually sent to.</t>
  </si>
  <si>
    <t>NOT-EDT-006</t>
  </si>
  <si>
    <t>Verify Edit Notification functionality for discarding changes on Cancel</t>
  </si>
  <si>
    <t>1. Change the Content and the target groups.
2. Click Cancel.
3. Reopen Edit.</t>
  </si>
  <si>
    <t>The notification reflects its last saved state; the cancelled edits are discarded.</t>
  </si>
  <si>
    <t>The notification's configuration is unchanged from before the edit attempt.</t>
  </si>
  <si>
    <t>4. DELETE NOTIFICATION</t>
  </si>
  <si>
    <t>NOT-DEL-001</t>
  </si>
  <si>
    <t>Verify Delete Notification functionality for requiring confirmation before removing a notification</t>
  </si>
  <si>
    <t>Clicking the delete icon prompts for confirmation before removal</t>
  </si>
  <si>
    <t>1. Click the delete (trash) icon on a notification row.</t>
  </si>
  <si>
    <t>Any existing test notification.</t>
  </si>
  <si>
    <t>Confirmed (2026-09-26): a confirmation dialog appears before deletion, matching the same delete-confirmation pattern used elsewhere on this platform (Prize Pool, Other Category) — resolving AQ-04.</t>
  </si>
  <si>
    <t>No system state change until the confirmation dialog is addressed.</t>
  </si>
  <si>
    <t>NOT-DEL-002</t>
  </si>
  <si>
    <t>Verify Delete Notification functionality for removing the notification once deletion is confirmed</t>
  </si>
  <si>
    <t>Confirming deletion removes the notification from the list</t>
  </si>
  <si>
    <t>1. Click Delete on a notification.
2. Confirm the deletion.</t>
  </si>
  <si>
    <t>The notification no longer appears in the Notification list.</t>
  </si>
  <si>
    <t>The notification rule no longer exists in the system.</t>
  </si>
  <si>
    <t>NOT-DEL-003</t>
  </si>
  <si>
    <t>Verify Delete Notification functionality for allowing the delete confirmation to be cancelled</t>
  </si>
  <si>
    <t>Cancelling the confirmation leaves the notification untouched</t>
  </si>
  <si>
    <t>1. Click Delete on a notification.
2. Cancel the confirmation.</t>
  </si>
  <si>
    <t>The notification remains in the list, fully unchanged.</t>
  </si>
  <si>
    <t>The notification remains in the system, fully unchanged.</t>
  </si>
  <si>
    <t>NOT-DEL-004</t>
  </si>
  <si>
    <t>Verify Delete Notification functionality for the fate of Record History when its source notification is deleted</t>
  </si>
  <si>
    <t>Deleting a notification rule that already has sent history</t>
  </si>
  <si>
    <t>Logged in to the Weibo merchant admin back-office as Super Admin/Admin with access to Tool &gt; Notification. On the Notification tab. A notification with at least one Record History entry is selected for deletion.</t>
  </si>
  <si>
    <t>1. Delete a notification that has previous Record History entries.
2. Check the Record History tab afterward.</t>
  </si>
  <si>
    <t>"Daily mission promotion reminder", which has Record History entries.</t>
  </si>
  <si>
    <t>Confirm whether past Record History entries remain visible as an audit trail, or are removed along with the rule.</t>
  </si>
  <si>
    <t>System state matches whichever history-retention rule is confirmed.</t>
  </si>
  <si>
    <t>5. SEND NOW (ROW ACTION)</t>
  </si>
  <si>
    <t>NOT-ACT-001</t>
  </si>
  <si>
    <t>Verify Notification List functionality for the Send Now row action</t>
  </si>
  <si>
    <t>The circular-arrow icon is a Send button that pushes the notification immediately</t>
  </si>
  <si>
    <t>1. Click the third (circular arrow) action icon on a notification row.
2. Observe the result.</t>
  </si>
  <si>
    <t>Any existing notification.</t>
  </si>
  <si>
    <t>Confirmed (2026-09-26): this is a Send Now action — clicking it pushes the notification immediately, resolving AQ-03.</t>
  </si>
  <si>
    <t>A new Record History entry is created for this immediate send.</t>
  </si>
  <si>
    <t>NOT-ACT-002</t>
  </si>
  <si>
    <t>Verify Notification List functionality for a resend action creating a new Record History entry</t>
  </si>
  <si>
    <t>Clicking Send Now logs a fresh Record History entry</t>
  </si>
  <si>
    <t>1. Click the resend icon on a notification.
2. Check the Record History tab.</t>
  </si>
  <si>
    <t>A resent notification.</t>
  </si>
  <si>
    <t>A new Record History entry appears with a current Released At timestamp and Sent status.</t>
  </si>
  <si>
    <t>A new Record History entry exists, distinct from any prior sends of the same notification.</t>
  </si>
  <si>
    <t>NOT-ACT-003</t>
  </si>
  <si>
    <t>Verify Notification List functionality for a resend action leaving the original schedule untouched</t>
  </si>
  <si>
    <t>Send Now does not alter the rule's own Schedule or Timer</t>
  </si>
  <si>
    <t>1. Note a recurring notification's Schedule and Timer.
2. Click the resend icon.
3. Re-check the Schedule and Timer.</t>
  </si>
  <si>
    <t>A Daily-scheduled notification.</t>
  </si>
  <si>
    <t>The Schedule and Timer remain exactly as they were; only a new send/record is triggered.</t>
  </si>
  <si>
    <t>The notification's own configuration is unchanged; only a new Record History entry is added.</t>
  </si>
  <si>
    <t>6. TARGET DELIVERY GROUPS</t>
  </si>
  <si>
    <t>NOT-GRP-001</t>
  </si>
  <si>
    <t>Verify Target Delivery Groups functionality for the Available Agent Group list reflecting currently configured Agent Groups</t>
  </si>
  <si>
    <t>Newly created Agent Groups elsewhere appear here without a workaround</t>
  </si>
  <si>
    <t>Logged in to the Weibo merchant admin back-office as Super Admin/Admin with access to Tool &gt; Notification. On the Add Notification screen. A new Agent Group was just created in Agent management.</t>
  </si>
  <si>
    <t>1. Create a new Agent Group in Agent management.
2. Return to Add Notification and check the Agent Group Available list.</t>
  </si>
  <si>
    <t>A newly created Agent Group.</t>
  </si>
  <si>
    <t>NOT-GRP-002</t>
  </si>
  <si>
    <t>Verify Target Delivery Groups functionality for the same behavior on Member Group</t>
  </si>
  <si>
    <t>Newly created Member Groups elsewhere appear here without a workaround</t>
  </si>
  <si>
    <t>Logged in to the Weibo merchant admin back-office as Super Admin/Admin with access to Tool &gt; Notification. On the Add Notification screen. A new Member Group was just created in Member Management.</t>
  </si>
  <si>
    <t>1. Create a new Member Group in Member Management.
2. Return to Add Notification and check the Member Group Available list.</t>
  </si>
  <si>
    <t>A newly created Member Group.</t>
  </si>
  <si>
    <t>NOT-GRP-003</t>
  </si>
  <si>
    <t>Verify Target Delivery Groups functionality for selecting "All" as a broadcast target</t>
  </si>
  <si>
    <t>Confirming how a notification is configured to reach every Agent/Member Group</t>
  </si>
  <si>
    <t>1. Look for an explicit "All" option versus selecting every individual group manually.
2. Configure the notification to broadcast to everyone.</t>
  </si>
  <si>
    <t>A broadcast-intent notification.</t>
  </si>
  <si>
    <t>Confirm whether "All" is a distinct selectable option or is only achieved via Select all moving every current group into Selected (which would not auto-include groups created later).</t>
  </si>
  <si>
    <t>The notification's targeting matches whichever broadcast mechanism is confirmed.</t>
  </si>
  <si>
    <t>NOT-GRP-004</t>
  </si>
  <si>
    <t>Verify Target Delivery Groups functionality for allowing two different notifications to target the identical Agent+Member Group pairing</t>
  </si>
  <si>
    <t>Two notifications targeting the identical Agent+Member Group pairing both save without any conflict error</t>
  </si>
  <si>
    <t>Logged in to the Weibo merchant admin back-office as Super Admin/Admin with access to Tool &gt; Notification. On the Add Notification screen. Another notification already targets a specific Agent+Member Group pairing.</t>
  </si>
  <si>
    <t>1. Create a second notification targeting the identical Agent Group and Member Group as an existing one.
2. Save.</t>
  </si>
  <si>
    <t>Two notifications both targeting Agent Group A + Member Group A.</t>
  </si>
  <si>
    <t>Confirmed (2026-09-26): overlapping targets across different notifications are accepted without a conflict error — notifications are additive broadcasts, not exclusive assignments like Lucky Spin/Rebate programs, resolving AQ-15.</t>
  </si>
  <si>
    <t>Both notifications coexist, each independently targeting the same group pairing; both will send to that pairing on their own schedules.</t>
  </si>
  <si>
    <t>NOT-GRP-005</t>
  </si>
  <si>
    <t>Verify Target Delivery Groups functionality for the Select all control on Agent Group</t>
  </si>
  <si>
    <t>Select all moves every available Agent Group into Selected</t>
  </si>
  <si>
    <t>1. Click Select all above Agent Group.</t>
  </si>
  <si>
    <t>Every available Agent Group moves into Selected.</t>
  </si>
  <si>
    <t>NOT-GRP-006</t>
  </si>
  <si>
    <t>Verify Target Delivery Groups functionality for the Select all control on Member Group</t>
  </si>
  <si>
    <t>Select all moves every available Member Group into Selected</t>
  </si>
  <si>
    <t>1. Click Select all above Member Group.</t>
  </si>
  <si>
    <t>All available Member Groups.</t>
  </si>
  <si>
    <t>Every available Member Group moves into Selected.</t>
  </si>
  <si>
    <t>NOT-GRP-007</t>
  </si>
  <si>
    <t>Verify Target Delivery Groups functionality for removing a single previously-selected group</t>
  </si>
  <si>
    <t>The single left-arrow moves one item back to Available</t>
  </si>
  <si>
    <t>1. Select one item in the Member Group Selected column.
2. Click the single left arrow.</t>
  </si>
  <si>
    <t>One previously-selected Member Group.</t>
  </si>
  <si>
    <t>That item returns to Available; the remaining selections are unaffected.</t>
  </si>
  <si>
    <t>NOT-GRP-008</t>
  </si>
  <si>
    <t>Verify Target Delivery Groups functionality for the clear-all control on Agent Group</t>
  </si>
  <si>
    <t>The double left arrow («) empties the entire Selected column at once</t>
  </si>
  <si>
    <t>Logged in to the Weibo merchant admin back-office as Super Admin/Admin with access to Tool &gt; Notification. Editing an existing notification. Several Agent Groups are currently selected.</t>
  </si>
  <si>
    <t>1. Click the clear-all («) control on Agent Group.</t>
  </si>
  <si>
    <t>Multiple selected Agent Groups.</t>
  </si>
  <si>
    <t>All Selected Agent Groups return to Available in one action.</t>
  </si>
  <si>
    <t>NOT-GRP-009</t>
  </si>
  <si>
    <t>Verify Target Delivery Groups functionality for allowing one Agent Group paired with multiple Member Groups</t>
  </si>
  <si>
    <t>Selecting a single Agent Group alongside several Member Groups saves successfully (1-to-many)</t>
  </si>
  <si>
    <t>1. Select one Agent Group.
2. Select three Member Groups.
3. Save.</t>
  </si>
  <si>
    <t>1 Agent Group + 3 Member Groups.</t>
  </si>
  <si>
    <t>Confirmed (2026-09-26): Save succeeds — targeting is not restricted to a 1:1 pairing; one Agent Group can be combined with multiple Member Groups.</t>
  </si>
  <si>
    <t>The notification targets the cross-product of the 1 Agent Group and all 3 Member Groups.</t>
  </si>
  <si>
    <t>NOT-GRP-010</t>
  </si>
  <si>
    <t>Verify Target Delivery Groups functionality for allowing multiple Agent Groups paired with a single Member Group</t>
  </si>
  <si>
    <t>Selecting several Agent Groups alongside one Member Group saves successfully (many-to-1)</t>
  </si>
  <si>
    <t>1. Select three Agent Groups.
2. Select one Member Group.
3. Save.</t>
  </si>
  <si>
    <t>3 Agent Groups + 1 Member Group.</t>
  </si>
  <si>
    <t>Confirmed (2026-09-26): Save succeeds, mirroring the 1-to-many case in the other direction.</t>
  </si>
  <si>
    <t>The notification targets the cross-product of all 3 Agent Groups and the 1 Member Group.</t>
  </si>
  <si>
    <t>NOT-GRP-011</t>
  </si>
  <si>
    <t>Verify Target Delivery Groups functionality for selecting multiple Agent Groups and multiple Member Groups at once</t>
  </si>
  <si>
    <t>A true many-to-many combination (multiple Agent Groups and multiple Member Groups at once) saves successfully</t>
  </si>
  <si>
    <t>1. Select two or more Agent Groups.
2. Select two or more Member Groups in the same notification.
3. Attempt to save.</t>
  </si>
  <si>
    <t>2 Agent Groups + 2 Member Groups.</t>
  </si>
  <si>
    <t>Confirmed (2026-09-26): many-to-many is also permitted — the dual-list-box does not restrict more-than-one selections to only one side at a time, resolving AQ-20. Combined with the earlier findings, targeting cardinality is fully unrestricted in every direction: 1-to-1, 1-to-many, many-to-1, and many-to-many all work.</t>
  </si>
  <si>
    <t>The notification targets the full cross-product of every selected Agent Group and every selected Member Group.</t>
  </si>
  <si>
    <t>7. RECORD HISTORY LIST</t>
  </si>
  <si>
    <t>NOT-RHL-001</t>
  </si>
  <si>
    <t>Verify Record History functionality for displaying all send records with correct summary data</t>
  </si>
  <si>
    <t>Record History lists ID, Notification Title, Type, Agent Group, Member Group, Released At, and Status for every send</t>
  </si>
  <si>
    <t>Logged in to the Weibo merchant admin back-office as Super Admin/Admin with access to Tool &gt; Notification. On the Record History tab.</t>
  </si>
  <si>
    <t>1. Switch to the Record History tab.
2. Review the list.</t>
  </si>
  <si>
    <t>Existing history entries, e.g. ID 5081, 5080.</t>
  </si>
  <si>
    <t>Each row shows the correct ID, Title, Type, target groups, Released At, and Status for that specific send.</t>
  </si>
  <si>
    <t>No system state change; the list continues to reflect existing history data.</t>
  </si>
  <si>
    <t>NOT-RHL-002</t>
  </si>
  <si>
    <t>Verify Record History functionality for filtering by delivery Status</t>
  </si>
  <si>
    <t>Status filter (All/Sent/Pending/Failed) narrows the history list</t>
  </si>
  <si>
    <t>Logged in to the Weibo merchant admin back-office as Super Admin/Admin with access to Tool &gt; Notification. On the Record History tab. Entries with Sent, Pending, and Failed statuses all exist.</t>
  </si>
  <si>
    <t>1. Set the status filter to Sent.
2. Set it to Pending.
3. Set it to Failed.</t>
  </si>
  <si>
    <t>Mixed-status history entries.</t>
  </si>
  <si>
    <t>Each filter shows only entries matching that delivery status.</t>
  </si>
  <si>
    <t>NOT-RHL-003</t>
  </si>
  <si>
    <t>Verify Record History functionality for filtering by date range</t>
  </si>
  <si>
    <t>From/To date filters narrow the history to that window</t>
  </si>
  <si>
    <t>1. Set From and To to a range covering only some existing entries.</t>
  </si>
  <si>
    <t>From = 2026-01-22, To = 2026-01-23.</t>
  </si>
  <si>
    <t>Only entries with a Released At date inside that range are shown.</t>
  </si>
  <si>
    <t>NOT-RHL-004</t>
  </si>
  <si>
    <t>Verify Record History functionality for the language filter</t>
  </si>
  <si>
    <t>Changing the language filter updates the displayed Notification Title</t>
  </si>
  <si>
    <t>1. Change the language filter to a different supported language.
2. Check the Notification Title column.</t>
  </si>
  <si>
    <t>The Notification Title column updates to reflect that language's saved content for each entry.</t>
  </si>
  <si>
    <t>NOT-RHL-005</t>
  </si>
  <si>
    <t>Verify Record History functionality for a Daily-scheduled notification producing one new entry per firing</t>
  </si>
  <si>
    <t>Over multiple days, a recurring notification logs a separate entry each time it fires</t>
  </si>
  <si>
    <t>Logged in to the Weibo merchant admin back-office as Super Admin/Admin with access to Tool &gt; Notification. On the Record History tab. A Daily-scheduled Active notification exists.</t>
  </si>
  <si>
    <t>1. Note the most recent Record History entry for a Daily notification.
2. Wait until its next scheduled Timer passes (or advance the test environment's clock, if supported).
3. Check Record History again.</t>
  </si>
  <si>
    <t>A Daily notification firing at a known Timer.</t>
  </si>
  <si>
    <t>A new, distinct Record History entry appears for the new firing, alongside (not replacing) the previous one.</t>
  </si>
  <si>
    <t>Record History gains one additional entry per actual firing of the recurring notification.</t>
  </si>
  <si>
    <t>NOT-RHL-006</t>
  </si>
  <si>
    <t>Verify Record History functionality for a Once-scheduled notification producing exactly one entry, ever</t>
  </si>
  <si>
    <t>A one-time notification never generates a second history entry</t>
  </si>
  <si>
    <t>Logged in to the Weibo merchant admin back-office as Super Admin/Admin with access to Tool &gt; Notification. On the Record History tab. A Once-scheduled notification that has already sent exists.</t>
  </si>
  <si>
    <t>1. Note the single Record History entry for a Once-scheduled notification.
2. Wait and recheck after a significant delay.</t>
  </si>
  <si>
    <t>A Once-scheduled, already-sent notification.</t>
  </si>
  <si>
    <t>No additional Record History entry ever appears for that notification, regardless of elapsed time.</t>
  </si>
  <si>
    <t>Exactly one Record History entry exists for the Once-scheduled notification, permanently.</t>
  </si>
  <si>
    <t>NOT-RHL-007</t>
  </si>
  <si>
    <t>Verify Record History functionality for identifying the cause of a Failed status</t>
  </si>
  <si>
    <t>Failed status is reserved for delivery-layer failures such as lost connection, not content or validation issues</t>
  </si>
  <si>
    <t>Logged in to the Weibo merchant admin back-office as Super Admin/Admin with access to Tool &gt; Notification. On the Record History tab. A Failed-status entry exists, e.g. "Maintenance window heads-up notice".</t>
  </si>
  <si>
    <t>1. Locate a Failed-status entry.
2. Open its detail view, if available.
3. Look for a failure reason or retry option.</t>
  </si>
  <si>
    <t>The "Maintenance window heads-up notice" Failed entry.</t>
  </si>
  <si>
    <t>Confirmed (2026-09-26): Failed represents technical delivery failures (e.g. lost connection), as distinct from a content, validation, or targeting problem — resolving the core of AQ-08. Whether a specific admin-visible reason or retry action accompanies the Failed entry was not specified; verify what, if anything, the detail view shows beyond the Failed status itself.</t>
  </si>
  <si>
    <t>No system state change; only the information available for a Failed entry is verified.</t>
  </si>
  <si>
    <t>8. RECORD HISTORY DETAIL VIEW</t>
  </si>
  <si>
    <t>NOT-RHD-001</t>
  </si>
  <si>
    <t>Verify Record History Detail functionality for showing the exact content that was sent, per language</t>
  </si>
  <si>
    <t>The detail view's Title/Content/Link match what was actually delivered, for every language tab</t>
  </si>
  <si>
    <t>Logged in to the Weibo merchant admin back-office as Super Admin/Admin with access to Tool &gt; Notification. On the Record History tab. Viewing a specific record's details.</t>
  </si>
  <si>
    <t>1. Open a Record History entry's detail view (eye icon).
2. Check Title, Content, and Link across several language tabs.</t>
  </si>
  <si>
    <t>A Sent entry, e.g. ID 5081.</t>
  </si>
  <si>
    <t>Each language tab shows the exact Title, Content, and Link that was sent, matching the source notification's content at send time.</t>
  </si>
  <si>
    <t>No system state change; only the detail view's content accuracy is verified.</t>
  </si>
  <si>
    <t>NOT-RHD-002</t>
  </si>
  <si>
    <t>Verify Record History Detail functionality for the Released At timestamp matching the list</t>
  </si>
  <si>
    <t>The detail view's Released At is identical to the value shown in the Record History list</t>
  </si>
  <si>
    <t>1. Note a record's Released At in the list.
2. Open its detail view and compare.</t>
  </si>
  <si>
    <t>Any Sent entry.</t>
  </si>
  <si>
    <t>The two timestamps match exactly.</t>
  </si>
  <si>
    <t>No system state change; only display consistency is verified.</t>
  </si>
  <si>
    <t>NOT-RHD-003</t>
  </si>
  <si>
    <t>Verify Record History Detail functionality for the Target Delivery Groups shown reflecting the actual send-time targets</t>
  </si>
  <si>
    <t>Agent/Member Group tags in the detail view represent who the notification was actually sent to</t>
  </si>
  <si>
    <t>1. Open a Record History entry's detail view.
2. Compare its Target Delivery Groups tags to the source notification's current configuration in the list/Edit screen.</t>
  </si>
  <si>
    <t>An entry where the source notification's targets may have since changed.</t>
  </si>
  <si>
    <t>Confirmed (2026-09-26): these tags are a permanent as-sent snapshot, not a live mirror of the source notification's current configuration — resolving AQ-06. This is correct audit-trail behavior: the record shows who a message actually reached, unaffected by any later edit to the rule.</t>
  </si>
  <si>
    <t>No system state change; the detail view's Target Delivery Groups remain fixed to their value at send time regardless of subsequent edits to the source notification.</t>
  </si>
  <si>
    <t>NOT-RHD-004</t>
  </si>
  <si>
    <t>Verify Record History Detail functionality for "Back to List" returning with prior filters intact</t>
  </si>
  <si>
    <t>Returning from a detail view preserves the Record History list's filter state</t>
  </si>
  <si>
    <t>1. Apply a status and date filter on Record History.
2. Open a detail view.
3. Click Back to List.</t>
  </si>
  <si>
    <t>Any applied filter combination.</t>
  </si>
  <si>
    <t>The list reappears with the same filters still applied.</t>
  </si>
  <si>
    <t>No system state change; only filter-state persistence across navigation is verified.</t>
  </si>
  <si>
    <t>NOT-RHD-005</t>
  </si>
  <si>
    <t>Verify Record History Detail functionality for the meaning of Schedule/Timer at the individual-record level</t>
  </si>
  <si>
    <t>Confirming what the detail view's Schedule and Timer fields represent for a single send instance</t>
  </si>
  <si>
    <t>1. Open the detail view for a record originating from a Daily-scheduled notification.
2. Check the Schedule and Timer fields shown.</t>
  </si>
  <si>
    <t>A record from a Daily-scheduled parent notification.</t>
  </si>
  <si>
    <t>Confirm whether Schedule here always reads "Once" (describing this individual send event) rather than the parent rule's recurrence, and whether Timer is always blank at this level — this differs from the parent rule's own Schedule/Timer.</t>
  </si>
  <si>
    <t>No system state change; only the semantics of these fields at record level are verified.</t>
  </si>
  <si>
    <t>NOT-RHD-006</t>
  </si>
  <si>
    <t>Verify Record History Detail functionality for a Pending-status record's detail view</t>
  </si>
  <si>
    <t>Confirming what is shown before a send has resolved</t>
  </si>
  <si>
    <t>Logged in to the Weibo merchant admin back-office as Super Admin/Admin with access to Tool &gt; Notification. On the Record History tab. Viewing a specific record's details. A Pending-status entry exists.</t>
  </si>
  <si>
    <t>1. Open the detail view for a Pending entry.</t>
  </si>
  <si>
    <t>A Pending entry, e.g. "New login from unknown device alert".</t>
  </si>
  <si>
    <t>Confirm what Released At and Status display before resolution — e.g. a blank/estimated Released At — rather than assuming it matches a Sent record's layout.</t>
  </si>
  <si>
    <t>No system state change; only the Pending-state detail view is verified.</t>
  </si>
  <si>
    <t>9. LOCALIZATION</t>
  </si>
  <si>
    <t>NOT-I18N-001</t>
  </si>
  <si>
    <t>Verify Localization functionality for presenting all 12 supported language tabs on Create/Edit and Record History Detail</t>
  </si>
  <si>
    <t>All 12 language tabs are present, labeled, and selectable everywhere content is shown</t>
  </si>
  <si>
    <t>1. Count and read the label of every language tab on Add Notification.
2. Repeat on the Record History Detail view.</t>
  </si>
  <si>
    <t>Exactly 12 tabs are shown and selectable in both places, matching Other Category's established language set.</t>
  </si>
  <si>
    <t>NOT-I18N-002</t>
  </si>
  <si>
    <t>Verify Localization functionality for keeping the admin UI's own language independent of content-language tabs</t>
  </si>
  <si>
    <t>Switching the admin UI's display language does not change which content-language tab is active</t>
  </si>
  <si>
    <t>1. Select the Spain tab for notification content.
2. Switch the admin UI's own language selector to a different language.
3. Check which content tab is still active.</t>
  </si>
  <si>
    <t>The Spain content tab remains selected and its entered text is untouched.</t>
  </si>
  <si>
    <t>NOT-I18N-003</t>
  </si>
  <si>
    <t>Verify Localization functionality for the Client Message Inbox showing content in the viewer's selected language</t>
  </si>
  <si>
    <t>A member sees a notification's Title/Content in their own app language, when each language was manually customized after Override</t>
  </si>
  <si>
    <t>Logged in to the Weibo client app as a member with at least one notification targeting their Agent/Member Group. Each language's content was individually edited after Override, rather than left as an identical copy.</t>
  </si>
  <si>
    <t>1. View the notification in the client inbox with the app language set to English.
2. Switch the app language to 繁體.
3. Compare the displayed content.</t>
  </si>
  <si>
    <t>繁體 = original text; English = manually customized, genuinely different text for the same notification.</t>
  </si>
  <si>
    <t>Confirmed (2026-09-26): the client shows the correct, distinct content for whichever language is active, when that language was manually customized. Per AQ-13, the platform itself does not translate — Override only copies the source text verbatim, so genuine per-language differences exist only where an admin manually edited individual tabs afterward.</t>
  </si>
  <si>
    <t>NOT-I18N-004</t>
  </si>
  <si>
    <t>Verify Localization functionality for the default (Override-copied) content being identical across all languages</t>
  </si>
  <si>
    <t>A notification created via "Override to All languages" without manual per-language edits shows the same untranslated text regardless of the viewer's app language</t>
  </si>
  <si>
    <t>Logged in to the Weibo client app as a member with at least one notification targeting their Agent/Member Group.</t>
  </si>
  <si>
    <t>1. Create a notification using "Override above contents to: All languages" only, with no further per-language edits.
2. View it in the client app under English.
3. Switch the app language to a different one, e.g. 简体.
4. Compare the displayed text.</t>
  </si>
  <si>
    <t>Content set via Override only; no manual per-language customization.</t>
  </si>
  <si>
    <t>Confirmed (2026-09-26): the exact same text displays regardless of the viewer's selected language, since Override copies rather than translates — clarifying AQ-13. This is the default state unless an admin manually customizes individual language tabs afterward (see NOT-I18N-003).</t>
  </si>
  <si>
    <t>No system state change; only the default cross-language display behavior is verified.</t>
  </si>
  <si>
    <t>NOT-I18N-005</t>
  </si>
  <si>
    <t>Verify Localization functionality for the fallback when a language has no saved content</t>
  </si>
  <si>
    <t>Client behavior for a language whose Title/Content was left blank on admin side</t>
  </si>
  <si>
    <t>Logged in to the Weibo client app as a member with at least one notification targeting their Agent/Member Group. The notification was saved with one of the ten non-mandatory languages (e.g. Bengali) left blank — confirmed acceptable per AQ-02, since only English and 简体 are required.</t>
  </si>
  <si>
    <t>1. View the notification in the client inbox under the language with no saved content.</t>
  </si>
  <si>
    <t>A notification with e.g. Bengali left blank.</t>
  </si>
  <si>
    <t>Confirm what the client shows for that language — blank, a default/base-language fallback, or the notification omitted entirely for that language's users.</t>
  </si>
  <si>
    <t>NOT-I18N-006</t>
  </si>
  <si>
    <t>Buttons, hints, and field labels on the Notification screens render correctly in both admin UI languages</t>
  </si>
  <si>
    <t>1. Review every label, button, and hint across List, Add/Edit, and Record History in English.
2. Repeat with the admin UI language set to 繁體.</t>
  </si>
  <si>
    <t>10. CLIENT MESSAGE INBOX</t>
  </si>
  <si>
    <t>NOT-CLI-001</t>
  </si>
  <si>
    <t>Verify Client Message Inbox functionality for listing all applicable messages for the logged-in member</t>
  </si>
  <si>
    <t>Message Center shows every message actually targeting this member</t>
  </si>
  <si>
    <t>1. Open Message Center in the client app.
2. Compare the listed messages to what admin has configured for this member's Agent/Member Group.</t>
  </si>
  <si>
    <t>A member matching at least one Active notification's targets.</t>
  </si>
  <si>
    <t>Every applicable message appears; none targeting a different, non-matching group appears.</t>
  </si>
  <si>
    <t>No system state change; only inbox content correctness is verified.</t>
  </si>
  <si>
    <t>NOT-CLI-002</t>
  </si>
  <si>
    <t>Verify Client Message Inbox functionality for the All/System/Deposit/Withdraw tabs filtering the message list</t>
  </si>
  <si>
    <t>Each tab shows only messages of its own type</t>
  </si>
  <si>
    <t>Logged in to the Weibo client app as a member with at least one notification targeting their Agent/Member Group. Messages of more than one type exist in this member's inbox.</t>
  </si>
  <si>
    <t>1. Select the System tab.
2. Select the Deposit tab.
3. Select the Withdraw tab.
4. Select All.</t>
  </si>
  <si>
    <t>Mixed-type inbox messages.</t>
  </si>
  <si>
    <t>Each tab shows only its own message type; All shows every type together.</t>
  </si>
  <si>
    <t>NOT-CLI-003</t>
  </si>
  <si>
    <t>Verify Client Message Inbox functionality for indicating unread messages</t>
  </si>
  <si>
    <t>Unread messages show a distinct indicator that read messages do not have</t>
  </si>
  <si>
    <t>Logged in to the Weibo client app as a member with at least one notification targeting their Agent/Member Group. At least one unread and one read message exist.</t>
  </si>
  <si>
    <t>1. Compare an unread message's row to a previously-read one.</t>
  </si>
  <si>
    <t>One unread, one read message.</t>
  </si>
  <si>
    <t>Only the unread message shows the unread indicator (e.g. a dot), consistent with the capture.</t>
  </si>
  <si>
    <t>No system state change; only the unread indicator's accuracy is verified.</t>
  </si>
  <si>
    <t>NOT-CLI-004</t>
  </si>
  <si>
    <t>Verify Client Message Inbox functionality for marking a message read upon opening it</t>
  </si>
  <si>
    <t>Opening an unread message clears its unread indicator</t>
  </si>
  <si>
    <t>Logged in to the Weibo client app as a member with at least one notification targeting their Agent/Member Group. An unread message exists.</t>
  </si>
  <si>
    <t>1. Open an unread message's detail view.
2. Return to Message Center.</t>
  </si>
  <si>
    <t>A previously unread message.</t>
  </si>
  <si>
    <t>The message no longer shows the unread indicator after being opened.</t>
  </si>
  <si>
    <t>The message's read state is updated to read for this member.</t>
  </si>
  <si>
    <t>NOT-CLI-005</t>
  </si>
  <si>
    <t>Verify Client Message Inbox functionality for "Mark All as Read" clearing every unread indicator at once</t>
  </si>
  <si>
    <t>Tapping Mark All as Read updates every unread message in one action</t>
  </si>
  <si>
    <t>Logged in to the Weibo client app as a member with at least one notification targeting their Agent/Member Group. Multiple unread messages exist.</t>
  </si>
  <si>
    <t>1. Tap Mark All as Read.</t>
  </si>
  <si>
    <t>Several unread messages.</t>
  </si>
  <si>
    <t>Every message's unread indicator clears simultaneously.</t>
  </si>
  <si>
    <t>All of this member's messages are marked read.</t>
  </si>
  <si>
    <t>NOT-CLI-006</t>
  </si>
  <si>
    <t>Verify Client Message Inbox functionality for a System-type message's detail view showing a plain text body</t>
  </si>
  <si>
    <t>Opening a System notification shows its Title and Content as plain text</t>
  </si>
  <si>
    <t>Logged in to the Weibo client app as a member with at least one notification targeting their Agent/Member Group. A System-type message exists.</t>
  </si>
  <si>
    <t>1. Open a System-type message.</t>
  </si>
  <si>
    <t>"System Notification" example message.</t>
  </si>
  <si>
    <t>The detail view shows the Title and Content text, matching the admin-configured copy, with no structured transaction fields.</t>
  </si>
  <si>
    <t>No system state change; only the System-type detail layout is verified.</t>
  </si>
  <si>
    <t>NOT-CLI-007</t>
  </si>
  <si>
    <t>Verify Client Message Inbox functionality for a Deposit-type message's detail view showing structured transaction fields</t>
  </si>
  <si>
    <t>Opening a Deposit notification shows Amount, Method, Transaction ID, Destination Wallet, and Status</t>
  </si>
  <si>
    <t>Logged in to the Weibo client app as a member with at least one notification targeting their Agent/Member Group. A Deposit-type message exists.</t>
  </si>
  <si>
    <t>1. Open a Deposit-type message, e.g. "Deposit Successful".</t>
  </si>
  <si>
    <t>A completed deposit of HKD $10,000.</t>
  </si>
  <si>
    <t>The detail view shows the correct Deposit Amount, Deposit Method, Transaction ID, Destination Wallet, and Transaction Status, matching the actual transaction.</t>
  </si>
  <si>
    <t>No system state change; only the Deposit-type structured detail layout is verified.</t>
  </si>
  <si>
    <t>NOT-CLI-008</t>
  </si>
  <si>
    <t>Verify Client Message Inbox functionality for tapping a notification with a configured Link navigating to that destination</t>
  </si>
  <si>
    <t>A message's configured Link opens correctly when tapped</t>
  </si>
  <si>
    <t>Logged in to the Weibo client app as a member with at least one notification targeting their Agent/Member Group. A message with a configured Link exists.</t>
  </si>
  <si>
    <t>1. Open a message that has a Link configured.
2. Tap through to follow the link.</t>
  </si>
  <si>
    <t>Link = "https://system.lumen.app/member/promotions/daily".</t>
  </si>
  <si>
    <t>The member is taken to the configured destination.</t>
  </si>
  <si>
    <t>No system state change; only link navigation is verified.</t>
  </si>
  <si>
    <t>NOT-CLI-009</t>
  </si>
  <si>
    <t>Verify Client Message Inbox functionality for showing a notification only to members in its targeted groups</t>
  </si>
  <si>
    <t>A member outside a notification's Agent/Member Group does not see it</t>
  </si>
  <si>
    <t>Logged in to the Weibo client app as a member with at least one notification targeting their Agent/Member Group. A notification targets a specific Agent/Member Group the test member does not belong to.</t>
  </si>
  <si>
    <t>1. Log in as a member outside the notification's targeted groups.
2. Check Message Center.</t>
  </si>
  <si>
    <t>A non-matching member.</t>
  </si>
  <si>
    <t>The notification does not appear in this member's inbox.</t>
  </si>
  <si>
    <t>No system state change; only targeted visibility is verified.</t>
  </si>
  <si>
    <t>NOT-CLI-010</t>
  </si>
  <si>
    <t>Verify Client Message Inbox functionality for a broadcast ("All") notification appearing for every member</t>
  </si>
  <si>
    <t>A notification targeting All reaches members regardless of their specific group</t>
  </si>
  <si>
    <t>1. Log in as any member.
2. Check Message Center for a broadcast notification, e.g. "Maintenance window heads-up notice".</t>
  </si>
  <si>
    <t>A broadcast notification.</t>
  </si>
  <si>
    <t>The notification appears for this member even though it doesn't name their specific Agent/Member Group.</t>
  </si>
  <si>
    <t>No system state change; only broadcast reach is verified.</t>
  </si>
  <si>
    <t>NOT-CLI-011</t>
  </si>
  <si>
    <t>Verify Client Message Inbox functionality for an Inactive notification never reaching any member's inbox</t>
  </si>
  <si>
    <t>An Inactive notification produces no client-visible message</t>
  </si>
  <si>
    <t>Logged in to the Weibo client app as a member with at least one notification targeting their Agent/Member Group. An Inactive notification targeting this member's groups exists.</t>
  </si>
  <si>
    <t>1. Confirm a notification is set Inactive in admin.
2. Check Message Center for any member it would have targeted.</t>
  </si>
  <si>
    <t>An Inactive notification.</t>
  </si>
  <si>
    <t>The notification never appears in any member's inbox while Inactive.</t>
  </si>
  <si>
    <t>No system state change; only the absence of Inactive-notification content is verified.</t>
  </si>
  <si>
    <t>NOT-CLI-012</t>
  </si>
  <si>
    <t>Verify Client Message Inbox functionality for the exact trigger conditions of automatic Deposit/Withdraw notifications</t>
  </si>
  <si>
    <t>Deposit and Withdraw notifications fire on both completion and rejection outcomes</t>
  </si>
  <si>
    <t>1. Complete a qualifying deposit.
2. Reject/cause a failed deposit.
3. Repeat both for a withdrawal.
4. Check Message Center after each.</t>
  </si>
  <si>
    <t>A completed and a rejected transaction of each type.</t>
  </si>
  <si>
    <t>Confirmed (2026-09-26): a client-side message is generated whether the transaction completes or is rejected, for both Deposit and Withdraw — resolving AQ-11, the question the source planning notes had explicitly marked open ("completed or rejected??").</t>
  </si>
  <si>
    <t>A message appears in the member's inbox for every completed or rejected Deposit/Withdraw transaction.</t>
  </si>
  <si>
    <t>11. ACCESS CONTROL</t>
  </si>
  <si>
    <t>NOT-ACC-001</t>
  </si>
  <si>
    <t>Verify Access Control functionality for granting Super Admin full access to Notification management</t>
  </si>
  <si>
    <t>Super Admin can Create, Edit, Delete notifications and view Record History</t>
  </si>
  <si>
    <t>1. Navigate to Tool &gt; Notification.
2. Attempt Create, Edit, Delete, and viewing Record History.</t>
  </si>
  <si>
    <t>NOT-ACC-002</t>
  </si>
  <si>
    <t>Verify Access Control functionality for defining the Admin role's access level to Notification management</t>
  </si>
  <si>
    <t>Admin has full parity with Super Admin for Notification management</t>
  </si>
  <si>
    <t>1. Navigate to Tool &gt; Notification.
2. Attempt the same Create/Edit/Delete actions as Super Admin.</t>
  </si>
  <si>
    <t>Confirmed (2026-09-26): Admin has the same rights as Super Admin — all actions (Create, Edit, Delete, Send Now, Record History) are available, resolving AQ-14.</t>
  </si>
  <si>
    <t>Every action attempted by the Admin account completes and is reflected in the system's data, identically to Super Admin.</t>
  </si>
  <si>
    <t>NOT-ACC-003</t>
  </si>
  <si>
    <t>Verify Access Control functionality for blocking Agent-role access to Notification admin setup</t>
  </si>
  <si>
    <t>Agent role cannot access Notification management</t>
  </si>
  <si>
    <t>1. Check the side navigation for Tool &gt; Notification.
2. Attempt to navigate directly to the Notification URL.</t>
  </si>
  <si>
    <t>No Notification data is created, modified, or deleted; the Agent's session remains restricted.</t>
  </si>
  <si>
    <t>NOT-ACC-004</t>
  </si>
  <si>
    <t>Verify Access Control functionality for blocking ordinary-member access to Notification admin setup</t>
  </si>
  <si>
    <t>A client-side member account cannot access admin Notification management</t>
  </si>
  <si>
    <t>Logged in as an ordinary client member account.</t>
  </si>
  <si>
    <t>1. Attempt to navigate directly to the admin Notification URL.</t>
  </si>
  <si>
    <t>Client member account.</t>
  </si>
  <si>
    <t>Direct navigation is blocked or redirected.</t>
  </si>
  <si>
    <t>No Notification data is created, modified, or deleted; the member's session remains restricted to the client app.</t>
  </si>
  <si>
    <t>NOT-ACC-005</t>
  </si>
  <si>
    <t>Direct deep-link to Add/Edit Notification URLs without the proper role</t>
  </si>
  <si>
    <t>Logged in as a role without Notification admin rights.</t>
  </si>
  <si>
    <t>1. Obtain the Add Notification screen's URL from a Super Admin session.
2. Paste it directly into a browser logged in as a lower-privileged role.</t>
  </si>
  <si>
    <t>Direct URL to Add Notification.</t>
  </si>
  <si>
    <t>No Notification data is created, modified, or deleted; the unauthorized session is redirected or denied.</t>
  </si>
  <si>
    <t>12. REGRESSION &amp; SCHEDULING INTEGRITY</t>
  </si>
  <si>
    <t>NOT-REG-001</t>
  </si>
  <si>
    <t>Verify Regression functionality for a Daily notification firing at the same configured time every day without drift</t>
  </si>
  <si>
    <t>A recurring notification's actual send time stays consistent across multiple days</t>
  </si>
  <si>
    <t>A Daily notification with a known Timer, observed across several days.</t>
  </si>
  <si>
    <t>1. Record the Released At time in Record History for three consecutive firings of the same Daily notification.
2. Compare the times.</t>
  </si>
  <si>
    <t>Three consecutive daily firings.</t>
  </si>
  <si>
    <t>All three Released At times match the configured Timer within an acceptable tolerance, with no cumulative drift.</t>
  </si>
  <si>
    <t>No permanent system state change beyond the normal Record History entries generated by each firing.</t>
  </si>
  <si>
    <t>NOT-REG-002</t>
  </si>
  <si>
    <t>Verify Regression functionality for preventing a duplicate send if the scheduler job runs twice for the same window</t>
  </si>
  <si>
    <t>No double-send occurs from a scheduler re-run or retry</t>
  </si>
  <si>
    <t>A Daily notification's scheduled window, with a simulated scheduler re-trigger if the environment supports it.</t>
  </si>
  <si>
    <t>1. Trigger or simulate the scheduler processing the same Daily window twice.
2. Check Record History for that window.</t>
  </si>
  <si>
    <t>A reprocessed scheduling window.</t>
  </si>
  <si>
    <t>Exactly one Record History entry exists for that window, not two.</t>
  </si>
  <si>
    <t>The recurring notification's history reflects exactly one send per actual scheduled window.</t>
  </si>
  <si>
    <t>NOT-REG-003</t>
  </si>
  <si>
    <t>Verify Regression functionality for whether an in-cycle Content edit affects the next scheduled send immediately</t>
  </si>
  <si>
    <t>The very next scheduled send uses the most recently saved Content, with no propagation delay</t>
  </si>
  <si>
    <t>A Daily notification with at least one prior send, edited before its next Timer.</t>
  </si>
  <si>
    <t>1. Edit the Content of a Daily notification partway through its cycle.
2. Save.
3. Wait for the next scheduled Timer to pass.
4. Check the new Record History entry's Content.</t>
  </si>
  <si>
    <t>Content changed between two scheduled firings.</t>
  </si>
  <si>
    <t>Confirmed (2026-09-26): the next send always reflects the last-updated content — there is no caching or propagation delay. Editing mid-cycle takes effect on the very next firing, resolving AQ-09.</t>
  </si>
  <si>
    <t>The next Record History entry's content matches whatever was most recently saved before it fired.</t>
  </si>
  <si>
    <t>NOT-REG-004</t>
  </si>
  <si>
    <t>Verify Regression functionality for a notification's behavior when a targeted Agent/Member Group is deleted afterward</t>
  </si>
  <si>
    <t>Deleting one of several targeted groups: the notification still fires, skipping only the deleted group</t>
  </si>
  <si>
    <t>A notification targets more than one Agent Group; one of them is then deleted elsewhere in the system.</t>
  </si>
  <si>
    <t>1. Delete an Agent Group that an existing notification targets.
2. Check whether the notification still fires, and to whom.</t>
  </si>
  <si>
    <t>A notification targeting 3 Agent Groups, one of which is deleted, leaving 2 valid.</t>
  </si>
  <si>
    <t>Confirmed (2026-09-26): the schedule keeps running. When more than one group was assigned, the notification sends to the remaining valid group(s) and simply skips the deleted one, resolving the multi-group half of AQ-10.</t>
  </si>
  <si>
    <t>The notification continues firing on schedule, now reaching only its remaining valid target groups.</t>
  </si>
  <si>
    <t>NOT-REG-005</t>
  </si>
  <si>
    <t>Verify Regression functionality for a notification whose only targeted group is deleted</t>
  </si>
  <si>
    <t>Deleting a notification's sole targeted Agent/Member Group: the schedule still executes rather than being blocked or silently cancelled</t>
  </si>
  <si>
    <t>A notification targets exactly one Agent Group (no other groups assigned), which is then deleted elsewhere in the system.</t>
  </si>
  <si>
    <t>1. Delete the single Agent Group a notification exclusively targets.
2. Wait for the notification's next scheduled Timer.
3. Check Record History.</t>
  </si>
  <si>
    <t>A notification with only one targeted group, now deleted, leaving zero valid targets.</t>
  </si>
  <si>
    <t>Confirmed (2026-09-26): the schedule still executes rather than being blocked or silently cancelled, even though no valid target group remains — resolving the single-group half of AQ-10. The system does not prevent the group's deletion just because a notification still references it.</t>
  </si>
  <si>
    <t>The notification's schedule continues to run on its configured cadence; a deleted group does not halt or corrupt it.</t>
  </si>
  <si>
    <t>NOT-REG-006</t>
  </si>
  <si>
    <t>Verify Regression functionality for the legacy notification mechanism being explicitly out of scope</t>
  </si>
  <si>
    <t>Confirming no migration or coexistence testing is required for the old customer-service-based mechanism</t>
  </si>
  <si>
    <t>N/A — no legacy environment access is needed for this confirmation.</t>
  </si>
  <si>
    <t>Confirmed (2026-09-26): no migration or coexistence testing is needed. Per direct guidance, this suite should focus solely on the new Notification tool's own behavior; the legacy mechanism is explicitly out of scope, resolving AQ-12. Retained here as a record of that decision rather than removed outright.</t>
  </si>
  <si>
    <t>No system state to verify; this case documents a scoping decision rather than a testable behavior.</t>
  </si>
  <si>
    <t>NOT-REG-007</t>
  </si>
  <si>
    <t>Verify Regression functionality for handling concurrent edits to the same notification by two admins</t>
  </si>
  <si>
    <t>Two admin sessions editing the same notification at nearly the same time</t>
  </si>
  <si>
    <t>Two Super Admin/Admin sessions are open on the same notification's Edit screen.</t>
  </si>
  <si>
    <t>1. In Session A, change the Content and save.
2. In Session B, opened before Session A saved, change the target groups and save shortly after.</t>
  </si>
  <si>
    <t>Two concurrent edit sessions on the same notification.</t>
  </si>
  <si>
    <t>Confirm whether the second save overwrites the first entirely, merges the changes, or is rejected with a conflict message — this should be a deliberate, documented behavior.</t>
  </si>
  <si>
    <t>NOT-ACT-004</t>
  </si>
  <si>
    <t>Verify Send Now functionality on an Inactive rule</t>
  </si>
  <si>
    <t>Send Now on an Inactive rule either sends and logs it or refuses with a message - never does nothing silently - and leaves the Status Inactive</t>
  </si>
  <si>
    <t>Logged in to the Weibo merchant admin back-office as Super Admin/Admin with access to Tool &gt; Notification. An Inactive rule exists.</t>
  </si>
  <si>
    <t>1. Click Send Now on the Inactive rule.
2. Read the page's message, Record History and the rule's Status.</t>
  </si>
  <si>
    <t>"QA NOT Send Now Inactive" (Inactive).</t>
  </si>
  <si>
    <t>Confirm whether Send Now bypasses Status: either a Sent entry is logged or the action is refused with a message. The Status stays Inactive either way.</t>
  </si>
  <si>
    <t>The rule stays Inactive.</t>
  </si>
  <si>
    <t>v1.4</t>
  </si>
  <si>
    <t>NOT-ACT-005</t>
  </si>
  <si>
    <t>Verify Send Now functionality for repeated clicks</t>
  </si>
  <si>
    <t>Two Send Now clicks in a row log two separate Record History entries</t>
  </si>
  <si>
    <t>Logged in to the Weibo merchant admin back-office as Super Admin/Admin with access to Tool &gt; Notification. The Send Now rule exists.</t>
  </si>
  <si>
    <t>1. Click Send Now.
2. Click Send Now again.
3. Read Record History.</t>
  </si>
  <si>
    <t>"QA NOT Send now to everyone".</t>
  </si>
  <si>
    <t>Two new entries with different IDs are logged, one per click.</t>
  </si>
  <si>
    <t>Two Record History entries; two deliveries to the members.</t>
  </si>
  <si>
    <t>NOT-CLI-013</t>
  </si>
  <si>
    <t>Verify Client Message Inbox functionality for the member's currency</t>
  </si>
  <si>
    <t>Message Center reads the member in the same currency the suite set the notifications up under</t>
  </si>
  <si>
    <t>Logged in to the Weibo client app as the targeted member; Message Center open.</t>
  </si>
  <si>
    <t>1. Sign in as the member and switch the wallet to HKD.
2. Open Message Center and read its currency line.</t>
  </si>
  <si>
    <t>Member qa000092; currency HKD.</t>
  </si>
  <si>
    <t>Message Center reads currency HKD, the currency the notifications were created under.</t>
  </si>
  <si>
    <t>No system state change.</t>
  </si>
  <si>
    <t>NOT-CLI-014</t>
  </si>
  <si>
    <t>Verify Client Message Inbox functionality for order and paging</t>
  </si>
  <si>
    <t>Messages are listed newest first, and Load more appends without repeating any</t>
  </si>
  <si>
    <t>Logged in to the Weibo client app as the targeted member; Message Center open with at least two messages.</t>
  </si>
  <si>
    <t>1. Send Now a notification to the member.
2. Load every page of Message Center.
3. Read the send times and the #ids top to bottom.</t>
  </si>
  <si>
    <t>The just-delivered message is at the top, send times never increase down the list, and no #id appears twice.</t>
  </si>
  <si>
    <t>NOT-CLI-015</t>
  </si>
  <si>
    <t>Verify Client Message Inbox functionality for the header unread indicator</t>
  </si>
  <si>
    <t>The header's unread indicator stays lit while any message is unread and clears once every one is read</t>
  </si>
  <si>
    <t>Logged in to the Weibo client app as the targeted member; two unread messages delivered.</t>
  </si>
  <si>
    <t>1. Deliver two messages.
2. Open one and go back; read the header indicator.
3. Tap Mark All as Read and refresh; read it again.</t>
  </si>
  <si>
    <t>"QA NOT Send now to everyone" and "QA NOT Maintenance window heads-up notice".</t>
  </si>
  <si>
    <t>The indicator stays lit while one message is unread and clears after Mark All as Read.</t>
  </si>
  <si>
    <t>Every message read.</t>
  </si>
  <si>
    <t>NOT-CLI-016</t>
  </si>
  <si>
    <t>Verify Client Message Inbox functionality for the read state persisting</t>
  </si>
  <si>
    <t>A message's read state survives a refresh and a fresh sign-in</t>
  </si>
  <si>
    <t>Logged in to the Weibo client app as the targeted member; an unread message delivered.</t>
  </si>
  <si>
    <t>1. Open the message and go back.
2. Refresh Message Center.
3. Sign out, sign in again and open Message Center.</t>
  </si>
  <si>
    <t>The message reads as read after the refresh and after the fresh sign-in.</t>
  </si>
  <si>
    <t>The message stays read.</t>
  </si>
  <si>
    <t>NOT-CLI-017</t>
  </si>
  <si>
    <t>Verify Client Message Inbox functionality on another wallet</t>
  </si>
  <si>
    <t>Switching the member to another wallet hides the notifications set up under the suite's currency</t>
  </si>
  <si>
    <t>Logged in to the Weibo client app as the targeted member on HKD; a message delivered.</t>
  </si>
  <si>
    <t>1. Confirm the message is listed on HKD.
2. Switch the member's wallet to USDT.
3. Open Message Center and read its currency and list.</t>
  </si>
  <si>
    <t>"QA NOT Send now to everyone"; wallets HKD and USDT.</t>
  </si>
  <si>
    <t>Message Center reads USDT and does not list the HKD notification.</t>
  </si>
  <si>
    <t>No system state change; the member is left on the other wallet.</t>
  </si>
  <si>
    <t>NOT-CLI-019</t>
  </si>
  <si>
    <t>Verify Client Message Inbox functionality for content after the rule is edited</t>
  </si>
  <si>
    <t>A delivered message keeps the Content as sent after the rule is edited</t>
  </si>
  <si>
    <t>Logged in to the Weibo client app as the targeted member; a message delivered.</t>
  </si>
  <si>
    <t>1. Open the delivered message and read its Content.
2. In the back office edit the rule's English Content and Save.
3. Refresh Message Center and open the message again.</t>
  </si>
  <si>
    <t>"QA NOT Edited After Delivery"; new Content "Changed after delivery".</t>
  </si>
  <si>
    <t>The message still shows the Content it was sent with, not the edited text.</t>
  </si>
  <si>
    <t>The rule holds the edited Content until deleted by the suite.</t>
  </si>
  <si>
    <t>NOT-CLI-020</t>
  </si>
  <si>
    <t>Verify Client Message Inbox functionality for Mark All as Read with nothing unread</t>
  </si>
  <si>
    <t>Mark All as Read with nothing unread is a harmless no-op</t>
  </si>
  <si>
    <t>1. Tap Mark All as Read.
2. Tap it again.
3. Read the header indicator and the list.</t>
  </si>
  <si>
    <t>No error; nothing is removed; every message stays read.</t>
  </si>
  <si>
    <t>NOT-CRT-027</t>
  </si>
  <si>
    <t>Verify Create Notification functionality for a Once rule with a Timer</t>
  </si>
  <si>
    <t>A Once notification with a Timer is sent when the Timer is reached and then sets itself Inactive</t>
  </si>
  <si>
    <t>Logged in to the Weibo merchant admin back-office as Super Admin/Admin with access to Tool &gt; Notification.</t>
  </si>
  <si>
    <t>1. Create a Once, Active notification with Timer set to the next whole hour.
2. Before the hour: read its Status and Record History.
3. Wait for the hour.
4. Read Record History and the rule's Status.</t>
  </si>
  <si>
    <t>"QA NOT Once At Timer", Schedule Once, Timer = next hour, Status Active, agents001 / Default 00.</t>
  </si>
  <si>
    <t>Before the hour the rule is Active with no history entry; at the hour exactly one Sent entry is logged; the rule then sets itself Inactive.</t>
  </si>
  <si>
    <t>The rule remains, Inactive, with one Record History entry.</t>
  </si>
  <si>
    <t>NOT-CRT-028</t>
  </si>
  <si>
    <t>Verify Create Notification functionality for unticking Override to All languages</t>
  </si>
  <si>
    <t>Ticking Override to All languages and unticking it again leaves the other languages blank, so Save shows the languages-required validation message</t>
  </si>
  <si>
    <t>1. Fill Title and Content on the 繁體 tab.
2. Tick Override above contents to: All languages.
3. Untick it again.
4. Select the target groups and click Save.</t>
  </si>
  <si>
    <t>"QA NOT Override Unticked", 繁體 Title and Content only.</t>
  </si>
  <si>
    <t>Save is refused with the "Title and Content are required for all languages" validation; nothing is added to the list.</t>
  </si>
  <si>
    <t>Validation</t>
  </si>
  <si>
    <t>NOT-CRT-029</t>
  </si>
  <si>
    <t>Verify Create Notification functionality for the form's defaults</t>
  </si>
  <si>
    <t>Add Notification opens with Type System, Schedule Once, Timer — and Status Active - defaults on which a rule is sent the moment it is saved</t>
  </si>
  <si>
    <t>1. Click + Add notification.
2. Read Type, Schedule, Timer, Status and both target modes before touching anything.</t>
  </si>
  <si>
    <t>None.</t>
  </si>
  <si>
    <t>Type System, Schedule Once, Timer —, Status Active, both targets on Select all. Note: a rule saved untouched on these defaults is sent immediately.</t>
  </si>
  <si>
    <t>NOT-CRT-030</t>
  </si>
  <si>
    <t>Verify Create Notification functionality for declining the send-now confirmation</t>
  </si>
  <si>
    <t>Declining the "save and send now?" confirmation of a Once rule with no Timer saves nothing and keeps the form open</t>
  </si>
  <si>
    <t>1. Fill the form as a Once rule with Timer —.
2. Click Save Notification.
3. Press Cancel on the "save and send now?" confirmation.
4. Check the form, the list and Record History.</t>
  </si>
  <si>
    <t>"QA NOT Declined Prompt", Once, Timer —, Active.</t>
  </si>
  <si>
    <t>The confirmation is asked; after Cancel the form stays open with its entries, nothing is listed and nothing is sent.</t>
  </si>
  <si>
    <t>NOT-CRT-031</t>
  </si>
  <si>
    <t>Verify Create Notification functionality for whitespace-only Title and Content</t>
  </si>
  <si>
    <t>A Title or Content of spaces only is refused like an empty one</t>
  </si>
  <si>
    <t>1. Fill Title and a Content of spaces only on 繁體, Override to All languages, targets set; click Save.
2. Fill Content and a Title of spaces only; click Save.</t>
  </si>
  <si>
    <t>Content = "   "; then Title = "   ".</t>
  </si>
  <si>
    <t>Both saves are refused with the required-field validation; the form stays open.</t>
  </si>
  <si>
    <t>NOT-CRT-033</t>
  </si>
  <si>
    <t>Verify Create Notification functionality for markup in Title and Content</t>
  </si>
  <si>
    <t>HTML and script tags typed into Title and Content are kept as plain text, never rendered or run</t>
  </si>
  <si>
    <t>1. Fill a Title containing &lt;b&gt; tags and a Content containing a &lt;script&gt; tag.
2. Save (Inactive).
3. Read the list row and reopen the rule in Edit.</t>
  </si>
  <si>
    <t>Title "QA NOT &lt;b&gt;Tagged&lt;/b&gt; title"; Content "&lt;script&gt;document.title='pwned'&lt;/script&gt;&lt;i&gt;italic&lt;/i&gt; ...".</t>
  </si>
  <si>
    <t>The rule saves; the list shows the tags as literal text; Edit serves the text exactly as typed; no script runs.</t>
  </si>
  <si>
    <t>One Inactive notification, deleted by the suite afterwards.</t>
  </si>
  <si>
    <t>Security</t>
  </si>
  <si>
    <t>NOT-CRT-034</t>
  </si>
  <si>
    <t>Verify Create Notification functionality for emoji and mixed-script text</t>
  </si>
  <si>
    <t>Emoji and mixed-script text in Title and Content survive Save and reload unchanged</t>
  </si>
  <si>
    <t>1. Fill a Title and Content containing emoji, 中文, ไทย and বাংলা.
2. Save (Inactive).
3. Read the list row and reopen the rule in Edit.</t>
  </si>
  <si>
    <t>Title "QA NOT Emoji 🎉 中文 ไทย বাংলা".</t>
  </si>
  <si>
    <t>The rule saves and every character is intact on the list and in Edit.</t>
  </si>
  <si>
    <t>NOT-CRT-035</t>
  </si>
  <si>
    <t>Verify Create Notification functionality for unticking a single-language Override</t>
  </si>
  <si>
    <t>Ticking Override to one language and unticking it again leaves that language blank, so Save shows the languages-required validation message</t>
  </si>
  <si>
    <t>1. Fill Title and Content on 繁體.
2. Tick Override to 简体 and to English.
3. Untick English.
4. Select the target groups and click Save.</t>
  </si>
  <si>
    <t>"QA NOT Override English Unticked".</t>
  </si>
  <si>
    <t>Save is refused with the languages-required validation because English is blank again; nothing is added.</t>
  </si>
  <si>
    <t>NOT-CRT-036</t>
  </si>
  <si>
    <t>Verify Create Notification functionality for Override ticked before the source tab is filled</t>
  </si>
  <si>
    <t>Override ticked while the 繁體 tab is still blank - the other languages either follow the text typed afterwards or stay blank and block Save, never blank-and-saved</t>
  </si>
  <si>
    <t>1. Tick Override to All languages with 繁體 still blank.
2. Read the English tab.
3. Fill Title and Content on 繁體 and read English again.
4. Select the targets and click Save.</t>
  </si>
  <si>
    <t>"QA NOT Override Blank Source".</t>
  </si>
  <si>
    <t>Confirm whether Override is a one-shot copy or a mode: either the other languages carry the text and Save goes through, or they stay blank and Save is refused. A rule must never save with the other languages blank.</t>
  </si>
  <si>
    <t>At most one Inactive notification, deleted by the suite afterwards.</t>
  </si>
  <si>
    <t>NOT-CRT-037</t>
  </si>
  <si>
    <t>Verify Create Notification functionality for a duplicate Title</t>
  </si>
  <si>
    <t>A second rule with the identical Title is either listed beside the first or refused with a message, never silently dropped</t>
  </si>
  <si>
    <t>Logged in to the Weibo merchant admin back-office as Super Admin/Admin with access to Tool &gt; Notification. A rule with the Title already exists.</t>
  </si>
  <si>
    <t>1. Create a rule titled "QA NOT Duplicate Title" (Inactive).
2. Create a second rule with the same Title.
3. Count the rules with that Title.</t>
  </si>
  <si>
    <t>Two rules, identical Title, Inactive.</t>
  </si>
  <si>
    <t>Confirm whether Titles are unique: either both rules are listed, or the second is refused with a message.</t>
  </si>
  <si>
    <t>Up to two Inactive notifications, deleted by the suite afterwards.</t>
  </si>
  <si>
    <t>NOT-CRT-038</t>
  </si>
  <si>
    <t>Verify Create Notification functionality for a Once Timer already past today</t>
  </si>
  <si>
    <t>A Once rule whose Timer hour is already past today is not sent immediately - it stays Active for that hour tomorrow</t>
  </si>
  <si>
    <t>1. Create a Once, Active rule with Timer set to the previous hour (Hong Kong Time).
2. Wait two minutes.
3. Read its Status, Timer and Record History.</t>
  </si>
  <si>
    <t>"QA NOT Once Past Hour", Timer = the hour before now.</t>
  </si>
  <si>
    <t>No Record History entry appears; the rule stays Active with the Timer it was saved with, to fire at that hour tomorrow.</t>
  </si>
  <si>
    <t>One Active Once notification, deleted by the suite afterwards.</t>
  </si>
  <si>
    <t>NOT-DEL-005</t>
  </si>
  <si>
    <t>Verify Delete Notification functionality for stopping future firings</t>
  </si>
  <si>
    <t>Deleting an Active Daily rule stops its future firings</t>
  </si>
  <si>
    <t>Logged in to the Weibo merchant admin back-office as Super Admin/Admin with access to Tool &gt; Notification. An Active Daily rule with Timer at the next hour.</t>
  </si>
  <si>
    <t>1. Delete the rule and confirm.
2. Wait for its Timer hour.
3. Read Record History for the rule's title.</t>
  </si>
  <si>
    <t>"QA NOT Delete Before Firing", Timer = next hour.</t>
  </si>
  <si>
    <t>The rule is gone before its Timer and no Record History entry appears for it afterwards.</t>
  </si>
  <si>
    <t>The rule no longer exists.</t>
  </si>
  <si>
    <t>NOT-DEL-006</t>
  </si>
  <si>
    <t>Verify Delete Notification functionality for a message already delivered</t>
  </si>
  <si>
    <t>A message already delivered stays in the member's inbox after its rule is deleted</t>
  </si>
  <si>
    <t>Logged in to the Weibo merchant admin back-office as Super Admin/Admin with access to Tool &gt; Notification, and to the client app as a targeted member.</t>
  </si>
  <si>
    <t>1. Create a broadcast rule and Send Now.
2. Confirm the message reached the member's Message Center.
3. Delete the rule and confirm.
4. Refresh Message Center.</t>
  </si>
  <si>
    <t>"QA NOT Delete After Delivery", Select all on both groups; member qa000092.</t>
  </si>
  <si>
    <t>The rule is deleted; the delivered message is still listed in Message Center.</t>
  </si>
  <si>
    <t>The rule no longer exists; the delivered message remains.</t>
  </si>
  <si>
    <t>NOT-EDT-007</t>
  </si>
  <si>
    <t>Verify Edit Notification functionality for clearing a required field</t>
  </si>
  <si>
    <t>Clearing the required Title on Edit is refused with the same validation as Create</t>
  </si>
  <si>
    <t>Logged in to the Weibo merchant admin back-office as Super Admin/Admin with access to Tool &gt; Notification. An existing rule.</t>
  </si>
  <si>
    <t>1. Open the rule in Edit.
2. Clear the 繁體 Title.
3. Click Save.</t>
  </si>
  <si>
    <t>"QA NOT Edit Clear Title".</t>
  </si>
  <si>
    <t>Save is refused with the required-field validation; the form stays open; the rule keeps its Title.</t>
  </si>
  <si>
    <t>The rule is unchanged.</t>
  </si>
  <si>
    <t>NOT-EDT-008</t>
  </si>
  <si>
    <t>Verify Edit Notification functionality for renaming</t>
  </si>
  <si>
    <t>Editing the 繁體 Title updates the list row at once, with the same ID and Created At</t>
  </si>
  <si>
    <t>1. Note the rule's ID and Created At.
2. Open it in Edit, change the 繁體 Title, Save.
3. Read the list.</t>
  </si>
  <si>
    <t>"QA NOT Rename Me" renamed to "QA NOT Renamed".</t>
  </si>
  <si>
    <t>The old Title is gone; the rule is listed under the new Title with the same ID and Created At.</t>
  </si>
  <si>
    <t>The rule keeps its new Title until deleted by the suite.</t>
  </si>
  <si>
    <t>NOT-EDT-009</t>
  </si>
  <si>
    <t>Verify Edit Notification functionality for changing Daily to Weekly</t>
  </si>
  <si>
    <t>Changing Daily to Weekly on Edit shows Week day and saves it - the list reads the day and hour</t>
  </si>
  <si>
    <t>Logged in to the Weibo merchant admin back-office as Super Admin/Admin with access to Tool &gt; Notification. A Daily rule exists.</t>
  </si>
  <si>
    <t>1. Open the Daily rule in Edit.
2. Set Schedule to Weekly, Week day Sunday, Timer 08 PM.
3. Save and read the list.</t>
  </si>
  <si>
    <t>"QA NOT Daily To Weekly".</t>
  </si>
  <si>
    <t>Week day appears when Weekly is chosen; the list shows Schedule Weekly and Timer "Sunday/08 PM".</t>
  </si>
  <si>
    <t>The rule is Weekly until deleted by the suite.</t>
  </si>
  <si>
    <t>NOT-EDT-010</t>
  </si>
  <si>
    <t>Verify Edit Notification functionality for re-activating a Daily rule</t>
  </si>
  <si>
    <t>Setting an Inactive Daily notification back to Active resumes firing at its Timer</t>
  </si>
  <si>
    <t>Logged in to the Weibo merchant admin back-office as Super Admin/Admin with access to Tool &gt; Notification. An Inactive Daily rule with Timer at the next hour.</t>
  </si>
  <si>
    <t>1. Open the Inactive rule in Edit and set Status Active; Save.
2. Wait for its Timer hour.
3. Read Record History.</t>
  </si>
  <si>
    <t>"QA NOT Reactivated Daily", Timer = next hour.</t>
  </si>
  <si>
    <t>The rule fires once at its Timer and logs one Sent entry.</t>
  </si>
  <si>
    <t>The rule remains Active until deleted by the suite.</t>
  </si>
  <si>
    <t>NOT-EDT-011</t>
  </si>
  <si>
    <t>Verify Edit Notification functionality for re-activating a sent Once rule</t>
  </si>
  <si>
    <t>Re-activating a Once rule that has already sent either sends it once more and ends Inactive again, or leaves it unsent - never sends it repeatedly</t>
  </si>
  <si>
    <t>Logged in to the Weibo merchant admin back-office as Super Admin/Admin with access to Tool &gt; Notification. A Once rule that has sent and set itself Inactive.</t>
  </si>
  <si>
    <t>1. Create a Once rule with Timer — (sent on save; wait until Inactive).
2. Open it in Edit, set Status Active, Save.
3. Watch Status and Record History for two minutes.</t>
  </si>
  <si>
    <t>"QA NOT Once Again".</t>
  </si>
  <si>
    <t>Confirm whether a sent Once rule can be re-sent: either exactly one more entry and Status Inactive again, or no new entry. Never more than one further send.</t>
  </si>
  <si>
    <t>The rule remains until deleted by the suite.</t>
  </si>
  <si>
    <t>NOT-EDT-012</t>
  </si>
  <si>
    <t>Verify Edit Notification functionality for widening targets to Select all</t>
  </si>
  <si>
    <t>Switching both targets from Optional to Select all on Edit saves as All / All</t>
  </si>
  <si>
    <t>Logged in to the Weibo merchant admin back-office as Super Admin/Admin with access to Tool &gt; Notification. A targeted rule exists.</t>
  </si>
  <si>
    <t>1. Open the rule in Edit.
2. Choose Select all on Agent Group and on Member group.
3. Save and read the list.</t>
  </si>
  <si>
    <t>"QA NOT Widen To All" (Inactive).</t>
  </si>
  <si>
    <t>The list row reads All for Agent Group and All for Member group.</t>
  </si>
  <si>
    <t>The rule targets All / All until deleted by the suite.</t>
  </si>
  <si>
    <t>NOT-EDT-013</t>
  </si>
  <si>
    <t>Verify Edit Notification functionality for removing the Link</t>
  </si>
  <si>
    <t>Removing the Link on Edit saves, and the next delivery carries no link</t>
  </si>
  <si>
    <t>Logged in to the Weibo merchant admin back-office as Super Admin/Admin with access to Tool &gt; Notification. A rule with a Link exists.</t>
  </si>
  <si>
    <t>1. Open the rule in Edit, clear the Link, Save.
2. Reopen Edit and read the Link.
3. Send Now and open the new Record History entry's details.</t>
  </si>
  <si>
    <t>"QA NOT Drop Link".</t>
  </si>
  <si>
    <t>The Link is saved empty and the delivery's details show no link.</t>
  </si>
  <si>
    <t>One Record History entry; the rule is deleted by the suite afterwards.</t>
  </si>
  <si>
    <t>NOT-GRP-012</t>
  </si>
  <si>
    <t>Verify Target Delivery Groups functionality for Optional with nothing selected</t>
  </si>
  <si>
    <t>Optional chosen on Agent Group with nothing moved to Selected is refused at Save</t>
  </si>
  <si>
    <t>1. Fill every required field.
2. Choose Optional on Agent Group and leave Selected empty.
3. Choose Optional on Member group and move Default 00 into Selected.
4. Click Save.</t>
  </si>
  <si>
    <t>"QA NOT Optional No Agent", Inactive.</t>
  </si>
  <si>
    <t>Save is refused with a validation message naming the missing Agent Group; nothing is added. (GD-136: the shipped form accepts it and saves Agent Group All.)</t>
  </si>
  <si>
    <t>NOT-I18N-007</t>
  </si>
  <si>
    <t>Verify Localization functionality for validation and confirmation messages</t>
  </si>
  <si>
    <t>Validation and confirmation messages are translated under the 中文 interface</t>
  </si>
  <si>
    <t>Logged in to the Weibo merchant admin back-office as Super Admin/Admin with access to Tool &gt; Notification. Admin UI language = 中文.</t>
  </si>
  <si>
    <t>1. Switch the admin UI language to 中文.
2. Open Add Notification and click Save on the empty form; read the message.
3. Click Delete on a rule; read the confirmation, then cancel it.</t>
  </si>
  <si>
    <t>Admin UI language 中文; "QA NOT Daily mission promotion reminder".</t>
  </si>
  <si>
    <t>The required-fields validation and the delete confirmation are shown in 中文, not in English.</t>
  </si>
  <si>
    <t>No system state change; the UI language is restored.</t>
  </si>
  <si>
    <t>NOT-LST-010</t>
  </si>
  <si>
    <t>Verify Notification List functionality for the First pager control</t>
  </si>
  <si>
    <t>The First control returns to the first page of notifications from a later page</t>
  </si>
  <si>
    <t>Logged in to the Weibo merchant admin back-office as Super Admin/Admin with access to Tool &gt; Notification. More than one page of notifications at 20 per page.</t>
  </si>
  <si>
    <t>1. Show 20 entries per page.
2. Click Next twice (or as far as the list allows).
3. Click First.</t>
  </si>
  <si>
    <t>The 50 seeded Inactive notifications (NOT-CRT-901).</t>
  </si>
  <si>
    <t>First lands on page 1 in one click, starting at entry 1 and showing the same rows page 1 showed.</t>
  </si>
  <si>
    <t>NOT-LST-011</t>
  </si>
  <si>
    <t>Verify Notification List functionality for the Last pager control</t>
  </si>
  <si>
    <t>The Last control jumps to the final page of notifications</t>
  </si>
  <si>
    <t>1. Show 20 entries per page.
2. Click Last.</t>
  </si>
  <si>
    <t>Last shows the final entries, ending at the total, and no page follows it.</t>
  </si>
  <si>
    <t>NOT-LST-012</t>
  </si>
  <si>
    <t>Verify Notification List functionality for a filter that matches nothing</t>
  </si>
  <si>
    <t>A filter that matches nothing shows an empty list with a zero count, not stale rows</t>
  </si>
  <si>
    <t>1. Set the Type filter to Deposit (or any type with no rule on this screen).
2. Read the table and the entry count.</t>
  </si>
  <si>
    <t>Type = Deposit.</t>
  </si>
  <si>
    <t>The table shows no rows, the entry count reads 0, and no rows from the previous filter remain.</t>
  </si>
  <si>
    <t>No system state change; only the display changes.</t>
  </si>
  <si>
    <t>NOT-LST-013</t>
  </si>
  <si>
    <t>Verify Notification List functionality for combining the Status, Type and Language filters</t>
  </si>
  <si>
    <t>Status, Type and Language filters combine, and every row shown satisfies all three</t>
  </si>
  <si>
    <t>Logged in to the Weibo merchant admin back-office as Super Admin/Admin with access to Tool &gt; Notification. Both an Active and an Inactive System rule exist.</t>
  </si>
  <si>
    <t>1. Set Status to Inactive.
2. Set Type to System.
3. Set Language to English.
4. Read every row and the entry count.</t>
  </si>
  <si>
    <t>"QA NOT Daily mission promotion reminder" (Active) and "QA NOT VIP upgrade notification alert" (Inactive).</t>
  </si>
  <si>
    <t>Every row shown is Inactive and System with its English title; the Active rule is filtered out; the entry count covers the rows shown.</t>
  </si>
  <si>
    <t>NOT-LST-014</t>
  </si>
  <si>
    <t>Verify Notification List functionality for keeping filters after Cancel on Edit</t>
  </si>
  <si>
    <t>Returning from Edit with Cancel keeps the list's Status and Language filters</t>
  </si>
  <si>
    <t>1. Set Status to Inactive and Language to English.
2. Click Edit on a listed rule.
3. Click Cancel.
4. Read the filters.</t>
  </si>
  <si>
    <t>"QA NOT VIP upgrade notification alert" (Inactive).</t>
  </si>
  <si>
    <t>The list reappears with Status still Inactive and Language still English.</t>
  </si>
  <si>
    <t>NOT-LST-015</t>
  </si>
  <si>
    <t>Verify Notification List functionality for the default order</t>
  </si>
  <si>
    <t>Notifications are listed newest first, by ID</t>
  </si>
  <si>
    <t>Logged in to the Weibo merchant admin back-office as Super Admin/Admin with access to Tool &gt; Notification. At least two notifications exist.</t>
  </si>
  <si>
    <t>1. Read the ID column top to bottom.</t>
  </si>
  <si>
    <t>Any two or more notifications.</t>
  </si>
  <si>
    <t>Every row's ID is lower than the row above it: newest first.</t>
  </si>
  <si>
    <t>NOT-REG-010</t>
  </si>
  <si>
    <t>Verify Regression functionality for the clocks</t>
  </si>
  <si>
    <t>Created At agrees with the header clock and with Hong Kong Time, the clock the schedules run on</t>
  </si>
  <si>
    <t>1. Create a rule and read its Created At.
2. Read the header clock and note Hong Kong Time.</t>
  </si>
  <si>
    <t>"QA NOT Clock Check" (Inactive).</t>
  </si>
  <si>
    <t>Created At is within five minutes of both the header clock and Hong Kong Time (UTC+8).</t>
  </si>
  <si>
    <t>NOT-RHD-007</t>
  </si>
  <si>
    <t>Verify Record History Detail functionality after the rule is deleted</t>
  </si>
  <si>
    <t>The details of a send still open after its rule has been deleted</t>
  </si>
  <si>
    <t>Logged in to the Weibo merchant admin back-office as Super Admin/Admin with access to Tool &gt; Notification. A rule that has sent.</t>
  </si>
  <si>
    <t>1. Send Now on a rule and note the entry.
2. Delete the rule.
3. Open the entry's details (if the entry is kept - NOT-DEL-004).</t>
  </si>
  <si>
    <t>"QA NOT Detail After Delete".</t>
  </si>
  <si>
    <t>When the entry is kept, its details open and show the Title and Content as sent; when history is removed with the rule, that is recorded.</t>
  </si>
  <si>
    <t>NOT-RHD-008</t>
  </si>
  <si>
    <t>Verify Record History Detail functionality for the Link</t>
  </si>
  <si>
    <t>The details' Link is the link the member's message opens</t>
  </si>
  <si>
    <t>1. Send Now on the Send Now rule and open the entry's details; read Link.
2. In the member's Message Center open the message and tap its link.</t>
  </si>
  <si>
    <t>"QA NOT Send now to everyone", Link https://system.lumen.app/member/promotions/daily.</t>
  </si>
  <si>
    <t>The details show the rule's Link and the member's message opens the same link.</t>
  </si>
  <si>
    <t>One Record History entry; one delivery.</t>
  </si>
  <si>
    <t>NOT-RHL-008</t>
  </si>
  <si>
    <t>Verify Record History functionality for page size and paging</t>
  </si>
  <si>
    <t>Record History's page size and Prev/Next pager work as the Notification tab's do</t>
  </si>
  <si>
    <t>Logged in to the Weibo merchant admin back-office as Super Admin/Admin with access to Tool &gt; Notification. On the Record History tab, with more than one page of entries at the smallest page size.</t>
  </si>
  <si>
    <t>1. Choose the smallest page size.
2. Click Next, then Prev.</t>
  </si>
  <si>
    <t>Existing history entries.</t>
  </si>
  <si>
    <t>No more than the chosen number of entries show per page; Next shows a different page starting at the next entry; Prev returns to the first page.</t>
  </si>
  <si>
    <t>NOT-RHL-009</t>
  </si>
  <si>
    <t>Verify Record History functionality for an inverted date range</t>
  </si>
  <si>
    <t>A From date later than the To date shows nothing or is corrected, never a wrong window</t>
  </si>
  <si>
    <t>1. Set From to today and To to a week ago.
2. Read the entries and the two date fields.</t>
  </si>
  <si>
    <t>From = today, To = today minus 7 days.</t>
  </si>
  <si>
    <t>Confirm whether the range is refused or corrected: either no entry is shown, or the fields are corrected and every entry shown lies inside the corrected window.</t>
  </si>
  <si>
    <t>NOT-RHL-010</t>
  </si>
  <si>
    <t>Verify Record History functionality for clearing the date filter</t>
  </si>
  <si>
    <t>Clearing the From/To dates restores the whole history</t>
  </si>
  <si>
    <t>1. Note the number of entries with no dates set.
2. Set From and To to today; note the count.
3. Clear both dates.</t>
  </si>
  <si>
    <t>Today's date.</t>
  </si>
  <si>
    <t>Both date fields are empty and the whole history is listed again.</t>
  </si>
  <si>
    <t>NOT-RHL-011</t>
  </si>
  <si>
    <t>Verify Record History functionality for a broadcast send</t>
  </si>
  <si>
    <t>A broadcast send's Record History row reads All / All</t>
  </si>
  <si>
    <t>Logged in to the Weibo merchant admin back-office as Super Admin/Admin with access to Tool &gt; Notification. A broadcast rule (Select all on both groups) exists.</t>
  </si>
  <si>
    <t>1. Send Now on the broadcast rule.
2. Read its new Record History row.</t>
  </si>
  <si>
    <t>"QA NOT Maintenance window heads-up notice".</t>
  </si>
  <si>
    <t>The row reads All for Agent Group and All for Member Group.</t>
  </si>
  <si>
    <t>One Record History entry; one delivery to every member.</t>
  </si>
  <si>
    <t>NOT-RHL-012</t>
  </si>
  <si>
    <t>Verify Record History functionality for the default order</t>
  </si>
  <si>
    <t>Record History is listed newest first, by Released At and ID</t>
  </si>
  <si>
    <t>Logged in to the Weibo merchant admin back-office as Super Admin/Admin with access to Tool &gt; Notification. On the Record History tab with at least two entries.</t>
  </si>
  <si>
    <t>1. Read Released At and ID top to bottom.</t>
  </si>
  <si>
    <t>Every row's Released At is no later than the row above it, and its ID is lower: newest first.</t>
  </si>
  <si>
    <t>NOT-REG-011</t>
  </si>
  <si>
    <t>Verify Regression functionality for a Weekly rule moved to a later hour the same day</t>
  </si>
  <si>
    <t>Moving a Weekly rule's Timer to a later hour after it has already fired today sends it again at the new hour, exactly once</t>
  </si>
  <si>
    <t>Logged in to the Weibo merchant admin back-office as Super Admin/Admin with access to Tool &gt; Notification; the scheduler running hourly.</t>
  </si>
  <si>
    <t>1. Create an Active Weekly rule for today's week day with Timer the next hour.
2. Wait for that hour and read Record History.
3. Edit the rule, move only its Timer to the following hour, Save.
4. Read the list and, a minute later, Record History.
5. Wait for the moved hour and read Record History again.</t>
  </si>
  <si>
    <t>"QA NOT Weekly Moved Later", Weekly, today's week day, Timer the next hour and then the hour after.</t>
  </si>
  <si>
    <t>Step 2: one Sent entry. Step 4: the list shows the moved Timer with Status Active and there is still one entry - saving does not send. Step 5: two entries today, exactly one in the moved hour's window, Sent; the rule stays Active.</t>
  </si>
  <si>
    <t>One Weekly notification, deleted by the suite afterwards; its two Record History entries remain.</t>
  </si>
  <si>
    <t>HTML and script tags typed into Title and Content save, are shown without the tags, and never run</t>
  </si>
  <si>
    <t>The rule saves; the list shows the Title without its tags ("QA NOT Tagged title"), never the tags as literal text; no script runs on the list or the form. Whether the tags are stripped on save or hidden on display is recorded from the served rule, either is accepted.</t>
  </si>
  <si>
    <t>OC-CLI-011</t>
  </si>
  <si>
    <t>Verify Client-Facing Display functionality for the new UI home page sections</t>
  </si>
  <si>
    <t>The new UI home page lists every category the client is served, in order, each with icon, name and More Games</t>
  </si>
  <si>
    <t>The client platform's new UI (https://test-v2.138hk.vip) is up and its category feed serves at least one Active category with games. Not signed in.</t>
  </si>
  <si>
    <t>1. Open the home page as a visitor and choose New UI when asked.
2. Read the client's category feed (/api/member/game-category-features).
3. Compare the sections drawn on the home page with the feed.</t>
  </si>
  <si>
    <t>-</t>
  </si>
  <si>
    <t>One section per served category, in the feed's order; each headed with the served icon (loaded) and name, and offering More Games.</t>
  </si>
  <si>
    <t>OC-CLI-012</t>
  </si>
  <si>
    <t>Verify Client-Facing Display functionality for the game cards in a section</t>
  </si>
  <si>
    <t>Every card in a section draws the banner served for that game's assignment, one card per served game</t>
  </si>
  <si>
    <t>As OC-CLI-011.</t>
  </si>
  <si>
    <t>1. Open the home page as a visitor in the New UI.
2. For each section, list the cards drawn and the games the feed serves for that category.</t>
  </si>
  <si>
    <t>Each section has exactly one card per served game, in order; each card's image is the banner uploaded for that assignment (the catalogue image when there is none), loaded, and 160px wide on a PC.</t>
  </si>
  <si>
    <t>OC-CLI-013</t>
  </si>
  <si>
    <t>Verify Client-Facing Display functionality for a section's scroll arrows</t>
  </si>
  <si>
    <t>A row with more cards than fit scrolls by its arrows until the last card is in view; a row that fits has none</t>
  </si>
  <si>
    <t>As OC-CLI-011, with one category holding more games than fit in one row at 1920px (ten or more).</t>
  </si>
  <si>
    <t>1. Open the home page as a visitor in the New UI.
2. Note which sections overflow their panel.
3. Press the right arrow of an overflowing section until its last card is on screen.
4. Press its left arrow.</t>
  </si>
  <si>
    <t>Sections that fit show no arrows. An overflowing section shows a right arrow; pressing it brings the hidden cards into view until the last card is on screen; a left arrow is then offered.</t>
  </si>
  <si>
    <t>OC-CLI-014</t>
  </si>
  <si>
    <t>Verify Client-Facing Display functionality for the More Games control</t>
  </si>
  <si>
    <t>More Games opens the category's own page, headed with its name and listing every served game</t>
  </si>
  <si>
    <t>1. Open the home page as a visitor in the New UI.
2. Click More Games on the first section.</t>
  </si>
  <si>
    <t>The address becomes /{locale}/game-category-features/{id} for that category; the page is headed with the category's name and draws every served game's banner, in order, all loaded.</t>
  </si>
  <si>
    <t>OC-CLI-015</t>
  </si>
  <si>
    <t>Verify Client-Facing Display functionality for a game under maintenance</t>
  </si>
  <si>
    <t>A game under maintenance is distinguished on its card (confirm whether)</t>
  </si>
  <si>
    <t>As OC-CLI-011, with one served game flagged isMaintenance in the feed.</t>
  </si>
  <si>
    <t>1. Open the home page as a visitor in the New UI.
2. Find the card of the game under maintenance.
3. Record any badge, label or overlay the card carries besides its image.</t>
  </si>
  <si>
    <t>The game is still listed in its section. Confirm whether the client should mark it: on 2026-10-02 the card was the banner alone, with no maintenance mark - recorded, not failed, until the client says what the card should show.</t>
  </si>
  <si>
    <t>OC-CLI-016</t>
  </si>
  <si>
    <t>Verify Client-Facing Display functionality for a visitor opening a game</t>
  </si>
  <si>
    <t>A visitor who opens a game card is asked to log in, and no game opens</t>
  </si>
  <si>
    <t>As OC-CLI-011. Not signed in.</t>
  </si>
  <si>
    <t>1. Open the home page as a visitor in the New UI.
2. Click the first card of the first section.</t>
  </si>
  <si>
    <t>The Login dialog (Username / Password / Verification Code) opens and no game window opens.</t>
  </si>
  <si>
    <t>OC-CLI-017</t>
  </si>
  <si>
    <t>Verify Client-Facing Display functionality for the sections under Traditional Chinese</t>
  </si>
  <si>
    <t>Under Traditional Chinese each section is headed with the category's 繁體 name</t>
  </si>
  <si>
    <t>1. Open the home page as a visitor in the New UI, in English.
2. Switch the client's language to Traditional Chinese.
3. Read the section headings.</t>
  </si>
  <si>
    <t>The client is on its Traditional Chinese locale (/hk/) and each section is headed with the name saved for 繁體, in the feed's order.</t>
  </si>
  <si>
    <t>OC-CLI-018</t>
  </si>
  <si>
    <t>Verify Client-Facing Display functionality for an unknown category address</t>
  </si>
  <si>
    <t>A category page for an id the client does not serve shows "No Games" rather than an error</t>
  </si>
  <si>
    <t>The client platform's new UI is up. Not signed in.</t>
  </si>
  <si>
    <t>1. Open /en/game-category-features/999999 directly.</t>
  </si>
  <si>
    <t>999999</t>
  </si>
  <si>
    <t>The page shows "No Games", carries no category name, and surfaces no error.</t>
  </si>
  <si>
    <t>OC-CLI-019</t>
  </si>
  <si>
    <t>Verify Client-Facing Display functionality for a member opening a game</t>
  </si>
  <si>
    <t>A signed-in member who opens a game card is not asked to log in again (the game launches)</t>
  </si>
  <si>
    <t>As OC-CLI-011, with the testing member configured (client.hk.username / client.hk.password).</t>
  </si>
  <si>
    <t>1. Open the home page in the New UI and sign in as the testing member (verification code 1111).
2. Click the first card of the first section.
3. Record what opened.</t>
  </si>
  <si>
    <t>qa00001 / password / 1111</t>
  </si>
  <si>
    <t>The Login dialog does not appear; the game opens (a new window or a navigation), recorded in the report.</t>
  </si>
  <si>
    <t>The member session is closed with the case.</t>
  </si>
  <si>
    <t>OC-CLI-020</t>
  </si>
  <si>
    <t>Verify responsive display and compatibility on a PC</t>
  </si>
  <si>
    <t>The sections and category page render and work on a PC (Windows, Chrome, 1920x1080)</t>
  </si>
  <si>
    <t>As OC-CLI-011. Chromium with a Windows Chrome user agent, 1920x1080.</t>
  </si>
  <si>
    <t>1. Open the home page in the New UI on the device.
2. Check every section: header on one line, icon loaded, cards 160px wide and loaded, nothing running off the side.
3. Scroll an overflowing row by its arrows until the last card is in view.
4. Open More Games on the first section and check the category page's heading, cards and grid.
5. Tap a game as a visitor.</t>
  </si>
  <si>
    <t>Every served category is a section; no horizontal overflow; cards 160px; arrows reveal the whole row; the category page is headed with the name, draws every served game in at least 3 columns at this width, and a visitor's tap opens the Login dialog. Screenshots of home, category page and login are kept with the report.</t>
  </si>
  <si>
    <t>OC-CLI-021</t>
  </si>
  <si>
    <t>Verify responsive display and compatibility on a Mac</t>
  </si>
  <si>
    <t>The sections and category page render and work on a Mac (Safari/WebKit, 1440x900)</t>
  </si>
  <si>
    <t>As OC-CLI-020, in WebKit with a macOS Safari user agent, 1440x900. WebKit installed (npx playwright install webkit).</t>
  </si>
  <si>
    <t>As OC-CLI-020.</t>
  </si>
  <si>
    <t>As OC-CLI-020, at 1440px: cards 160px, at least 3 grid columns on the category page.</t>
  </si>
  <si>
    <t>OC-CLI-022</t>
  </si>
  <si>
    <t>Verify responsive display and compatibility on an iPad</t>
  </si>
  <si>
    <t>The sections and category page render and work on an iPad (Safari/WebKit, 820x1180, touch)</t>
  </si>
  <si>
    <t>As OC-CLI-020, in WebKit with an iPadOS Safari user agent, 820x1180, touch, 2x. WebKit installed.</t>
  </si>
  <si>
    <t>As OC-CLI-020, at 820px: cards 160px and at least 44px tap targets, arrows reveal the whole row, the category page grid has 2 columns.</t>
  </si>
  <si>
    <t>OC-CLI-023</t>
  </si>
  <si>
    <t>Verify responsive display and compatibility on an iPhone</t>
  </si>
  <si>
    <t>The sections and category page render and work on an iPhone (Safari/WebKit, 390x844, touch)</t>
  </si>
  <si>
    <t>As OC-CLI-020, in WebKit with an iOS Safari user agent, 390x844, touch, 3x. WebKit installed.</t>
  </si>
  <si>
    <t>As OC-CLI-020, with the overflowing row scrolled by touch rather than arrows.</t>
  </si>
  <si>
    <t>As OC-CLI-020, at 390px: cards 140px and at least 44px tap targets, no arrows and the row scrolls sideways, the category page grid has 2 columns, nothing runs off the side.</t>
  </si>
  <si>
    <t>OC-CLI-024</t>
  </si>
  <si>
    <t>Verify responsive display and compatibility on an Android phone</t>
  </si>
  <si>
    <t>The sections and category page render and work on an Android phone (Chrome, 412x915, touch)</t>
  </si>
  <si>
    <t>As OC-CLI-020, in Chromium with an Android Chrome user agent, 412x915, touch, 2.625x.</t>
  </si>
  <si>
    <t>As OC-CLI-023.</t>
  </si>
  <si>
    <t>As OC-CLI-023, at 412px.</t>
  </si>
  <si>
    <t>The address becomes /{locale}/game-category-features/{id} for that category; the page is headed with the category's name and draws every served game's banner, all loaded. Whether it keeps the home row's order is recorded (on 2026-10-02 it did not).</t>
  </si>
  <si>
    <t>The visitor is asked to log in - the site shows its "Please login first" prompt (or the Login dialog) - and no game window opens.</t>
  </si>
  <si>
    <t>Every served category is a section; no horizontal overflow; cards 160px; arrows reveal the whole row; the category page is headed with the name, draws every served game in at least 3 columns at this width, and a visitor's tap is answered with the "Please login first" prompt (or the Login dialog). Screenshots of home, category page and login are kept with the report.</t>
  </si>
  <si>
    <t>OC-CLI-025</t>
  </si>
  <si>
    <t>Verify responsive display for a signed-in member on a PC</t>
  </si>
  <si>
    <t>A signed-in member sees the sections and opens a game on a PC (Windows, Chrome, 1920x1080)</t>
  </si>
  <si>
    <t>As OC-CLI-020, with the testing member configured (client.hk.username / client.hk.password).</t>
  </si>
  <si>
    <t>1. Open the home page in the New UI on the device and sign in as the testing member (verification code 1111).
2. Check the header no longer offers Login and every section is drawn with its header on one line, its cards loaded, nothing running off the side.
3. Open More Games on the first section and check the category page's heading and cards.
4. Tap the first game and record what opens.</t>
  </si>
  <si>
    <t>The member signs in and stays signed in across the reload; every served category is a section; the category page is headed with the name and draws every served game; tapping a game does not raise the "Please login first" prompt or the Login dialog (what opened is recorded). Screenshots of the member's home, category page and game tap are kept with the report.</t>
  </si>
  <si>
    <t>OC-CLI-026</t>
  </si>
  <si>
    <t>Verify responsive display for a signed-in member on a Mac</t>
  </si>
  <si>
    <t>A signed-in member sees the sections and opens a game on a Mac (Safari/WebKit, 1440x900)</t>
  </si>
  <si>
    <t>As OC-CLI-025, in WebKit with a macOS Safari user agent, 1440x900. WebKit installed.</t>
  </si>
  <si>
    <t>As OC-CLI-025.</t>
  </si>
  <si>
    <t>As OC-CLI-025, at 1440px.</t>
  </si>
  <si>
    <t>OC-CLI-027</t>
  </si>
  <si>
    <t>Verify responsive display for a signed-in member on an iPad</t>
  </si>
  <si>
    <t>A signed-in member sees the sections and opens a game on an iPad (Safari/WebKit, 820x1180, touch)</t>
  </si>
  <si>
    <t>As OC-CLI-025, in WebKit with an iPadOS Safari user agent, 820x1180, touch, 2x. WebKit installed.</t>
  </si>
  <si>
    <t>As OC-CLI-025, at 820px.</t>
  </si>
  <si>
    <t>OC-CLI-028</t>
  </si>
  <si>
    <t>Verify responsive display for a signed-in member on an iPhone</t>
  </si>
  <si>
    <t>A signed-in member sees the sections and opens a game on an iPhone (Safari/WebKit, 390x844, touch)</t>
  </si>
  <si>
    <t>As OC-CLI-025, in WebKit with an iOS Safari user agent, 390x844, touch, 3x. WebKit installed. The Add to Home Screen panel is closed first.</t>
  </si>
  <si>
    <t>As OC-CLI-025, at 390px (cards 140px).</t>
  </si>
  <si>
    <t>OC-CLI-029</t>
  </si>
  <si>
    <t>Verify responsive display for a signed-in member on an Android phone</t>
  </si>
  <si>
    <t>A signed-in member sees the sections and opens a game on an Android phone (Chrome, 412x915, touch)</t>
  </si>
  <si>
    <t>As OC-CLI-025, in Chromium with an Android Chrome user agent, 412x915, touch, 2.625x.</t>
  </si>
  <si>
    <t>As OC-CLI-025, at 412px (cards 140px).</t>
  </si>
  <si>
    <t>OC-CLI-030</t>
  </si>
  <si>
    <t>Verify a signed-in member can open every game from the home page sections</t>
  </si>
  <si>
    <t>A signed-in member can open every game listed in every section on the home page</t>
  </si>
  <si>
    <t>As OC-CLI-019: the client platform's new UI is up, its feed serves categories with games, and the testing member is configured. PC, Chrome.</t>
  </si>
  <si>
    <t>1. Open the home page in the New UI and sign in as the testing member (verification code 1111).
2. For every category the feed serves and every game in it: open the home page, click that game's card in its section, and wait up to 10s for what the site does.
3. Record each game's outcome against its condition in the feed (available / under maintenance).</t>
  </si>
  <si>
    <t>Every available game launches - a new window, a navigation to the game, or an embedded game frame - and no game asks the member to log in again. A game the feed flags as under maintenance may decline with a maintenance notice instead (recorded). The report lists every game with its condition and outcome.</t>
  </si>
  <si>
    <t>Every game window opened is closed; the member session is closed with the case.</t>
  </si>
  <si>
    <t>OC-CLI-031</t>
  </si>
  <si>
    <t>Verify a signed-in member can open every game from the category pages</t>
  </si>
  <si>
    <t>A signed-in member can open every game on every category's own page</t>
  </si>
  <si>
    <t>As OC-CLI-030.</t>
  </si>
  <si>
    <t>1. Open the home page in the New UI and sign in as the testing member.
2. For every category the feed serves: open its page (/en/game-category-features/{id}) and, for every game it serves, click the card drawing that game's banner and wait up to 10s for what the site does.
3. Record each game's outcome against its condition in the feed.</t>
  </si>
  <si>
    <t>As OC-CLI-030, from the category pages: every available game launches, no game asks the member to log in again, a maintenance game may decline with a maintenance notice.</t>
  </si>
  <si>
    <t>Every served category is a section; no horizontal overflow; cards 160px; arrows reveal the whole row; the category page is headed with the name, draws every served game in at least 3 columns at this width, and a visitor's tap on a home-row card is answered with the "Please login first" prompt (or the Login dialog); what a tap on the category page's card does is recorded (on 2026-10-02: nothing). Screenshots of home, category page and login are kept with the report.</t>
  </si>
  <si>
    <t>1. Open the home page in the New UI on the device and sign in as the testing member (verification code 1111); claim the Daily Mission reward and close its panel, and close the chat widget, before going on.
2. Check the header no longer offers Login and every section is drawn with its header on one line, its cards loaded, nothing running off the side.
3. Open More Games on the first section and check the category page's heading and cards.
4. Tap the first game and record what opens.</t>
  </si>
  <si>
    <t>NOT-CLI-021</t>
  </si>
  <si>
    <t>Verify the Message Center on the client's new UI for a visitor</t>
  </si>
  <si>
    <t>A visitor who opens the Message Center sees its empty shell - heading, Mark All as Read, the four tabs on All, and "No messages yet"</t>
  </si>
  <si>
    <t>The client platform's new UI (https://test-v2.138hk.vip) is up. Not signed in. PC, Chrome.</t>
  </si>
  <si>
    <t>1. Open the home page and choose New UI when asked.
2. Open /en/messages.
3. Read the heading, the Mark All as Read control, the tabs and the list.</t>
  </si>
  <si>
    <t>The Message Center shows its heading, a disabled Mark All as Read, the tabs All / System / Deposit / Withdraw with All selected, a Back control, and "No messages yet". Whether the visitor is asked to log in is recorded (on 2026-10-02: not asked).</t>
  </si>
  <si>
    <t>NOT-CLI-022</t>
  </si>
  <si>
    <t>Verify the Message Center on the client's new UI lists a member's messages</t>
  </si>
  <si>
    <t>A signed-in member's Message Center lists their messages with title, time and an unread mark, and each tab shows no more than All</t>
  </si>
  <si>
    <t>As NOT-CLI-021, with the testing member configured (client.hk.username / client.hk.password). The member may have any number of messages, none included.</t>
  </si>
  <si>
    <t>1. Sign in as the testing member (verification code 1111); claim and close the Daily Mission panel.
2. Open the Message Center from the header's message control (by address when none is offered).
3. Scroll the list to its end under All; read every row.
4. Open each of System, Deposit and Withdraw and read their lists.</t>
  </si>
  <si>
    <t>The shell is as in NOT-CLI-021. Under All every row carries a title and a time, unread rows a red mark, and the list ends with "All messages shown" - or says "No messages yet" when the member has none. Each other tab becomes the selected tab and lists no more rows than All. The counts are recorded.</t>
  </si>
  <si>
    <t>NOT-CLI-023</t>
  </si>
  <si>
    <t>Verify opening a message on the client's new UI</t>
  </si>
  <si>
    <t>Opening a message shows its details under a Back control, Back returns to the list, and the message is no longer unread</t>
  </si>
  <si>
    <t>As NOT-CLI-022.</t>
  </si>
  <si>
    <t>1. Sign in and open the Message Center.
2. Open the first unread message (the first message when none is unread).
3. Read the message page; press Back.
4. Read the row again.</t>
  </si>
  <si>
    <t>The message's own page (/en/messages/{id}) opens, headed "Message Details" over the row's title and the message content. Back returns to the list. A message that was unread has lost its mark. With no message the empty state is validated and the row ends.</t>
  </si>
  <si>
    <t>The opened message is now read.</t>
  </si>
  <si>
    <t>NOT-CLI-024</t>
  </si>
  <si>
    <t>Verify Mark All as Read on the client's new UI</t>
  </si>
  <si>
    <t>Mark All as Read is enabled only while something is unread, and pressing it clears every unread mark</t>
  </si>
  <si>
    <t>1. Sign in and open the Message Center; scroll the list to its end.
2. Compare the Mark All as Read control's state with the number of unread rows.
3. If any is unread, press Mark All as Read and read the list again.</t>
  </si>
  <si>
    <t>Mark All as Read is enabled exactly when at least one row is unread. After pressing it no row carries the unread mark and the control is disabled.</t>
  </si>
  <si>
    <t>Every message is now read.</t>
  </si>
  <si>
    <t>NOT-CLI-025</t>
  </si>
  <si>
    <t>Verify responsive display and compatibility of the Message Center on a PC</t>
  </si>
  <si>
    <t>The Message Center renders and works for a member on a PC (Windows, Chrome, 1920x1080)</t>
  </si>
  <si>
    <t>As NOT-CLI-022. Chromium with a Windows Chrome user agent, 1920x1080.</t>
  </si>
  <si>
    <t>1. Sign in as the testing member on the device and open the Message Center.
2. Check the shell, that nothing runs off the side, the heading and Mark All as Read share one line, and the tab row is readable.
3. Read every row; open the first message; press Back.</t>
  </si>
  <si>
    <t>The shell is complete and within the screen; the tab row fits or scrolls sideways without cutting off; every row fits; a message's page opens and fits; Back returns to the list. Screenshots of the list and a message are kept with the report. With no message the empty state is validated.</t>
  </si>
  <si>
    <t>NOT-CLI-026</t>
  </si>
  <si>
    <t>Verify responsive display and compatibility of the Message Center on a Mac</t>
  </si>
  <si>
    <t>The Message Center renders and works for a member on a Mac (Safari/WebKit, 1440x900)</t>
  </si>
  <si>
    <t>As NOT-CLI-025, in WebKit with a macOS Safari user agent, 1440x900. WebKit installed.</t>
  </si>
  <si>
    <t>As NOT-CLI-025.</t>
  </si>
  <si>
    <t>As NOT-CLI-025, at 1440px.</t>
  </si>
  <si>
    <t>NOT-CLI-027</t>
  </si>
  <si>
    <t>Verify responsive display and compatibility of the Message Center on an iPad</t>
  </si>
  <si>
    <t>The Message Center renders and works for a member on an iPad (Safari/WebKit, 820x1180, touch)</t>
  </si>
  <si>
    <t>As NOT-CLI-025, in WebKit with an iPadOS Safari user agent, 820x1180, touch, 2x. WebKit installed.</t>
  </si>
  <si>
    <t>As NOT-CLI-025, at 820px, with every tab, Back and Mark All as Read a tap target of 36px or more.</t>
  </si>
  <si>
    <t>NOT-CLI-028</t>
  </si>
  <si>
    <t>Verify responsive display and compatibility of the Message Center on an iPhone</t>
  </si>
  <si>
    <t>The Message Center renders and works for a member on an iPhone (Safari/WebKit, 390x844, touch)</t>
  </si>
  <si>
    <t>As NOT-CLI-025, in WebKit with an iOS Safari user agent, 390x844, touch, 3x. WebKit installed. The Add to Home Screen panel and the chat widget are closed first.</t>
  </si>
  <si>
    <t>As NOT-CLI-027, at 390px.</t>
  </si>
  <si>
    <t>NOT-CLI-029</t>
  </si>
  <si>
    <t>Verify responsive display and compatibility of the Message Center on an Android phone</t>
  </si>
  <si>
    <t>The Message Center renders and works for a member on an Android phone (Chrome, 412x915, touch)</t>
  </si>
  <si>
    <t>As NOT-CLI-025, in Chromium with an Android Chrome user agent, 412x915, touch, 2.625x.</t>
  </si>
  <si>
    <t>As NOT-CLI-027, at 412px.</t>
  </si>
  <si>
    <t>Verify the Message Center on the client's new UI keeps a visitor out</t>
  </si>
  <si>
    <t>A visitor who opens the Message Center is kept out - asked to log in or sent away - and sees no message list</t>
  </si>
  <si>
    <t>1. Open the home page and choose New UI when asked.</t>
  </si>
  <si>
    <t>NOT-CLI-030</t>
  </si>
  <si>
    <t>Verify the header's message control for a signed-in member</t>
  </si>
  <si>
    <t>The header's message control takes a signed-in member to the Message Center, and its badge agrees with the unread rows</t>
  </si>
  <si>
    <t>As NOT-CLI-022. PC, Chrome.</t>
  </si>
  <si>
    <t>1. Sign in as the testing member; claim and close the Daily Mission panel.
2. Read the header's message control and its badge.
3. Click it; scroll the Message Center to its end and count the unread rows.</t>
  </si>
  <si>
    <t>The header offers a control leading to the Message Center. Clicking it opens the Message Center. A numeric badge equals the unread rows; a dot means at least one is unread; no badge is recorded with the unread count.</t>
  </si>
  <si>
    <t>NOT-CLI-031</t>
  </si>
  <si>
    <t>Verify the Message Center tabs partition a member's messages</t>
  </si>
  <si>
    <t>Every message belongs to exactly one of System, Deposit and Withdraw - the three tabs together list what All lists</t>
  </si>
  <si>
    <t>1. Sign in and open the Message Center; scroll All to its end.
2. Open System, Deposit and Withdraw in turn, scrolling each to its end.
3. Compare the rows.</t>
  </si>
  <si>
    <t>Every row under a tab is also under All, and the three tabs' rows together equal All's count. With no message, every tab says "No messages yet".</t>
  </si>
  <si>
    <t>NOT-CLI-032</t>
  </si>
  <si>
    <t>Verify the Message Center under Traditional Chinese for a member</t>
  </si>
  <si>
    <t>Under Traditional Chinese the Message Center keeps its structure - four tabs, the same rows - with its labels translated</t>
  </si>
  <si>
    <t>1. Sign in and open the Message Center in English; scroll to its end.
2. Switch the client to Traditional Chinese and open the Message Center again.
3. Read the heading, tabs and rows.</t>
  </si>
  <si>
    <t>Four tabs are still offered, the heading and tab labels are no longer the English ones, and the same number of messages is listed. The translated labels are recorded.</t>
  </si>
  <si>
    <t>The client is switched back to English.</t>
  </si>
  <si>
    <t>NOT-CLI-033</t>
  </si>
  <si>
    <t>Verify the Message Center is closed by signing out</t>
  </si>
  <si>
    <t>After signing out, the Message Center is no longer reachable - the former member is kept out like any visitor</t>
  </si>
  <si>
    <t>1. Sign in and open the Message Center.
2. Sign out from the header.
3. Open /en/messages again.</t>
  </si>
  <si>
    <t>After signing out the Message Center is not shown: the visitor is asked to log in or sent away. Known defect on 2026-10-02: the empty shell was shown.</t>
  </si>
  <si>
    <t>The member is signed out.</t>
  </si>
  <si>
    <t>NOT-CLI-034</t>
  </si>
  <si>
    <t>Verify a message's address is refused to a visitor</t>
  </si>
  <si>
    <t>A message's own address opened without being signed in is refused, not shown</t>
  </si>
  <si>
    <t>As NOT-CLI-022, with at least one message in the member's list.</t>
  </si>
  <si>
    <t>1. Sign in, open the Message Center and open the first message; note its address (/en/messages/{id}).
2. Sign out from the header.
3. Open that address directly.</t>
  </si>
  <si>
    <t>The message is not shown to the visitor: they are asked to log in or sent away. With no message the empty state is validated and the row ends.</t>
  </si>
  <si>
    <t>The member is signed out; the opened message is now read.</t>
  </si>
  <si>
    <t>NOT-CLI-035</t>
  </si>
  <si>
    <t>Verify a message is refused to a different signed-in member</t>
  </si>
  <si>
    <t>A signed-in member cannot open another member's message by its own address</t>
  </si>
  <si>
    <t>As NOT-CLI-022, with at least one message in the member's list, and a second HK account configured (client.hk.outsider.*).</t>
  </si>
  <si>
    <t>1. Sign in as the member, open the Message Center and open the first message; note its address (/en/messages/{id}).
2. Sign out from the header.
3. Sign in as the second (outsider) account.
4. Open the first member's message address directly.</t>
  </si>
  <si>
    <t>qa00001 / password / 1111; outsider account from client.hk.outsider.*</t>
  </si>
  <si>
    <t>The outsider is not shown the first member's message - access denied, not found, or sent elsewhere. With no message the empty state is validated and the row ends.</t>
  </si>
  <si>
    <t>The member is signed out; the outsider is signed in; the opened message is now read.</t>
  </si>
  <si>
    <t>Member_benefits</t>
  </si>
  <si>
    <t>5.0.0</t>
  </si>
  <si>
    <t>24/09/2026</t>
  </si>
  <si>
    <t>STATUS</t>
  </si>
  <si>
    <t>RISK LEVEL</t>
  </si>
  <si>
    <t>Automation</t>
  </si>
  <si>
    <t>NG RESULT</t>
  </si>
  <si>
    <t xml:space="preserve">LAST UPDATE </t>
  </si>
  <si>
    <t>RUN</t>
  </si>
  <si>
    <t>AUTOMATION STATUS</t>
  </si>
  <si>
    <t>LAST RUN</t>
  </si>
  <si>
    <t>REPORT</t>
  </si>
  <si>
    <t>ADMIN › MEMBER BENEFITS LIST</t>
  </si>
  <si>
    <t xml:space="preserve">      Positive cases</t>
  </si>
  <si>
    <t>MB-ADM-LST-P001</t>
  </si>
  <si>
    <t>Verify Member Benefits functionality for admin menu navigation</t>
  </si>
  <si>
    <t>Open menu, expand Web content management, click Member benefits</t>
  </si>
  <si>
    <t>Admin logged in with Member benefits access, currency HKD selected</t>
  </si>
  <si>
    <t>1. Open admin menu
2. Expand Web content management
3. Click Member benefits</t>
  </si>
  <si>
    <t>Member benefits is under Web content management; list page opens with title 'Member benefits', 'Add member benefit' button; menu item highlighted (AC01)</t>
  </si>
  <si>
    <t>Admin on list page</t>
  </si>
  <si>
    <t>Heading read 'Member benefits', the Add member benefit button was present: true, page URL was https://admin-test.138hk.vip/cms/member-benefits/</t>
  </si>
  <si>
    <t>Yes</t>
  </si>
  <si>
    <t>MB-ADM-LST-P002</t>
  </si>
  <si>
    <t>Verify Member Benefits functionality for list columns</t>
  </si>
  <si>
    <t>Open list, check header and row data</t>
  </si>
  <si>
    <t>Admin logged in with Member benefits access, currency HKD selected, 3 benefits exist</t>
  </si>
  <si>
    <t>1. Open list
2. Check header
3. Check each row</t>
  </si>
  <si>
    <t>Columns: No, Icon, Benefit name, Banners, Status, Order, Updated, Actions (Edit, Delete); each row shows icon thumbnail, name, banner count, status, display order, updated time</t>
  </si>
  <si>
    <t>Row was listed: true, showed 1 banner(s), status 'Active', display order '1'</t>
  </si>
  <si>
    <t>MB-ADM-LST-P003</t>
  </si>
  <si>
    <t>Verify Member Benefits functionality for No column running number</t>
  </si>
  <si>
    <t>Open list, check No column on page 1 and page 2</t>
  </si>
  <si>
    <t>Admin logged in with Member benefits access, currency HKD selected, more benefits than 1 page</t>
  </si>
  <si>
    <t>1. Check No on page 1
2. Go to page 2
3. Check No</t>
  </si>
  <si>
    <t>&gt; 1 page of benefits</t>
  </si>
  <si>
    <t>No is a running number 1, 2, 3… following the list order and continues on next page; it is not the display order</t>
  </si>
  <si>
    <t>MB-ADM-LST-P004</t>
  </si>
  <si>
    <t>Verify Member Benefits functionality for default sort by Order</t>
  </si>
  <si>
    <t>Create benefits with Order 3, 0, 2, open list</t>
  </si>
  <si>
    <t>1. Create benefits A (Order 3), B (Order 0), C (Order 2)
2. Open list</t>
  </si>
  <si>
    <t>Order 3 / 0 / 2</t>
  </si>
  <si>
    <t>List sorted by Order ascending: B (0), C (2), A (3)</t>
  </si>
  <si>
    <t>Found 3 row(s), in order: [Automation OrderB 1790579594230, Automation OrderC 1790579594230, Automation OrderA 1790579594230]</t>
  </si>
  <si>
    <t>MB-ADM-LST-P005</t>
  </si>
  <si>
    <t>Verify Member Benefits functionality for Banners count</t>
  </si>
  <si>
    <t>Benefit has banners in several languages, check Banners column</t>
  </si>
  <si>
    <t>Admin logged in with Member benefits access, currency HKD selected, benefit has 2 EN, 2 繁體, 1 简体 banners</t>
  </si>
  <si>
    <t>1. Open list
2. Check Banners for the benefit
3. Add 1 more banner in Edit, save, recheck</t>
  </si>
  <si>
    <t>5 banners → 6</t>
  </si>
  <si>
    <t>Banners column counts all banners added and increases by 1 after adding. Banner count according to language filter</t>
  </si>
  <si>
    <t>Banners column showed 2 under English, 2 under 繁體, and 3 after adding one more banner</t>
  </si>
  <si>
    <t>MB-ADM-LST-P006</t>
  </si>
  <si>
    <t>Verify Member Benefits functionality for search by full name</t>
  </si>
  <si>
    <t>Enter full benefit name, check results</t>
  </si>
  <si>
    <t>Admin logged in with Member benefits access, currency HKD selected, 'Exclusive Offers' and 'Player Safety' exist</t>
  </si>
  <si>
    <t>1. Enter name in Search
2. Check results</t>
  </si>
  <si>
    <t>Exclusive Offers</t>
  </si>
  <si>
    <t>Only 'Exclusive Offers' listed; footer 'Showing 1–1 of 1 member benefits'</t>
  </si>
  <si>
    <t>Search returned 1 row(s), first row named 'Automation Exclusive Offers 1790581377768'</t>
  </si>
  <si>
    <t>MB-ADM-LST-P007</t>
  </si>
  <si>
    <t>Verify Member Benefits functionality for search partial and case-insensitive</t>
  </si>
  <si>
    <t>Enter partial / different case keyword</t>
  </si>
  <si>
    <t>Admin logged in with Member benefits access, currency HKD selected, 'Exclusive Offers' exists</t>
  </si>
  <si>
    <t>1. Search 'exclus'
2. Search 'OFFERS'</t>
  </si>
  <si>
    <t>exclus ; OFFERS</t>
  </si>
  <si>
    <t>'Exclusive Offers' found in both searches</t>
  </si>
  <si>
    <t>Partial lowercase search 'exclusp' found the benefit: true; different-case search 'PARTIAL' found it: true</t>
  </si>
  <si>
    <t>MB-ADM-LST-P008</t>
  </si>
  <si>
    <t>Verify Member Benefits functionality for status filter</t>
  </si>
  <si>
    <t>Select Active, Inactive, All statuses</t>
  </si>
  <si>
    <t>Admin logged in with Member benefits access, currency HKD selected, 2 Active and 1 Inactive benefit</t>
  </si>
  <si>
    <t>1. Status = Active
2. Status = Inactive
3. Status = All statuses</t>
  </si>
  <si>
    <t>Active: 2 rows; Inactive: 1 row; All: 3 rows; footer count matches</t>
  </si>
  <si>
    <t>Active filter showed 2 row(s), Inactive filter showed 1 row(s), All showed 3 row(s)</t>
  </si>
  <si>
    <t>Change text from enable / disabled to Active/Inactive</t>
  </si>
  <si>
    <t>MB-ADM-LST-P009</t>
  </si>
  <si>
    <t>Verify Member Benefits functionality for language filter</t>
  </si>
  <si>
    <t>Switch Language filter, check Benefit name column</t>
  </si>
  <si>
    <t>Admin logged in with Member benefits access, currency HKD selected, names filled in all 12 languages</t>
  </si>
  <si>
    <t>1. Select each language in Language filter
2. Check Benefit name</t>
  </si>
  <si>
    <t>繁體, 简体, English, 日本語, ภาษาไทย … Portuguese</t>
  </si>
  <si>
    <t>Benefit name shows the name of the selected language and banner count show according to selected language</t>
  </si>
  <si>
    <t>English filter showed 'Automation LangEN 1790579358122', 繁體 filter showed 'Automation LangTC 1790579358122', 简体 filter showed 'Automation LangSC 1790579358122'</t>
  </si>
  <si>
    <t>MB-ADM-LST-P010</t>
  </si>
  <si>
    <t>Verify Member Benefits functionality for language filter with empty optional name</t>
  </si>
  <si>
    <t>Select optional language with empty name</t>
  </si>
  <si>
    <t>Admin logged in with Member benefits access, currency HKD selected, benefit has no ภาษาไทย name</t>
  </si>
  <si>
    <t>1. Language filter = ภาษาไทย
2. Check Benefit name</t>
  </si>
  <si>
    <t>ภาษาไทย empty</t>
  </si>
  <si>
    <t>No result show</t>
  </si>
  <si>
    <t>The row was found: true, with the Benefit name column displaying 'Automation NoThaiName 1790579305661'</t>
  </si>
  <si>
    <t>MB-ADM-LST-P011</t>
  </si>
  <si>
    <t>Verify Member Benefits functionality for combined filters</t>
  </si>
  <si>
    <t>Search + Status + Language together</t>
  </si>
  <si>
    <t>1. Search 'Offers'
2. Status = Active
3. Language = 简体</t>
  </si>
  <si>
    <t>Only rows matching all filters shown; names in 简体</t>
  </si>
  <si>
    <t>Combined filters returned 1 row(s), first named 'Automation Offers Combo 1790577747139'</t>
  </si>
  <si>
    <t>MB-ADM-LST-P012</t>
  </si>
  <si>
    <t>Verify Member Benefits functionality for Updated timestamp</t>
  </si>
  <si>
    <t>Edit benefit, save, check Updated</t>
  </si>
  <si>
    <t>1. Note Updated time
2. Edit name, save
3. Check list</t>
  </si>
  <si>
    <t>Updated shows the new save date/time ('DD Mon YYYY · HH:mm')</t>
  </si>
  <si>
    <t>Updated column showed '2026-09-28 15:51:24' before the edit and '2026-09-28 15:51:32' after saving</t>
  </si>
  <si>
    <t>MB-ADM-LST-P013</t>
  </si>
  <si>
    <t>Verify Member Benefits functionality for pagination</t>
  </si>
  <si>
    <t>Use Previous, page number, Next</t>
  </si>
  <si>
    <t>1. Click Next
2. Click page 1
3. Click Previous on page 1</t>
  </si>
  <si>
    <t>Correct rows per page; 'Showing x–y of N' updates; Previous disabled on first page, Next disabled on last page (follow the old implement)</t>
  </si>
  <si>
    <t>MB-ADM-LST-P014</t>
  </si>
  <si>
    <t>Verify Member Benefits functionality for currency separation</t>
  </si>
  <si>
    <t>Create benefit in HKD, switch currency, check list</t>
  </si>
  <si>
    <t>1. Create benefit under HKD
2. Switch top bar currency to another currency
3. Check list
4. Switch back to HKD</t>
  </si>
  <si>
    <t>HKD → other → HKD</t>
  </si>
  <si>
    <t>Benefit shown only under HKD; list of other currency does not include it</t>
  </si>
  <si>
    <t>Shown under HKD initially: true, shown under USDT: false, shown under HKD again: true</t>
  </si>
  <si>
    <t>MB-ADM-LST-P015</t>
  </si>
  <si>
    <t>Verify Member Benefits functionality for Add and Edit navigation</t>
  </si>
  <si>
    <t>Click Add member benefit, then Cancel, click Edit</t>
  </si>
  <si>
    <t>1. Click Add member benefit
2. Cancel
3. Click Edit on a row</t>
  </si>
  <si>
    <t>Add opens 'Add member benefit' empty form; Edit opens 'Edit member benefit' (same form) prefilled with that record</t>
  </si>
  <si>
    <t>Add form heading was 'Add Member Benefit' with name field ''; Edit form heading was 'Edit Member Benefit' prefilled with name 'Automation AddEditNav 1790573018002'</t>
  </si>
  <si>
    <t>MB-ADM-LST-P016</t>
  </si>
  <si>
    <t>Verify Member Benefits functionality for delete benefit</t>
  </si>
  <si>
    <t>Click Delete, confirm, check list and client</t>
  </si>
  <si>
    <t>Admin logged in with Member benefits access, currency HKD selected, benefit with banners exists</t>
  </si>
  <si>
    <t>1. Click Delete
2. Confirmation dialog appears
3. Confirm
4. Check list and client</t>
  </si>
  <si>
    <t>Confirmation dialog shown; after confirm the benefit is hard-deleted with all its banners; list refreshes and No renumbers; benefit gone from client immediately</t>
  </si>
  <si>
    <t>Benefit deleted</t>
  </si>
  <si>
    <t>Benefit still listed after confirming delete: false</t>
  </si>
  <si>
    <t xml:space="preserve">      Negative cases</t>
  </si>
  <si>
    <t>MB-ADM-LST-N001</t>
  </si>
  <si>
    <t>Verify Member Benefits functionality for search no result</t>
  </si>
  <si>
    <t>Search keyword that does not exist</t>
  </si>
  <si>
    <t>1. Search 'zzz'
2. Check list</t>
  </si>
  <si>
    <t>zzz</t>
  </si>
  <si>
    <t>Empty table/empty state; 'Showing 0' footer; no error</t>
  </si>
  <si>
    <t>Empty state shown: true, row count: 0</t>
  </si>
  <si>
    <t>MB-ADM-LST-N002</t>
  </si>
  <si>
    <t>Verify Member Benefits functionality for search special characters</t>
  </si>
  <si>
    <t>Search with SQL/script characters</t>
  </si>
  <si>
    <t>1. Search each value</t>
  </si>
  <si>
    <t>' OR 1=1 -- ; &lt;script&gt;alert(1)&lt;/script&gt; ; %_</t>
  </si>
  <si>
    <t>Treated as plain text; no error, no script executed, no unintended rows</t>
  </si>
  <si>
    <t>Query '' OR 1=1 -- ' showed a dialog: false and fired a JS alert: false; Query '&lt;script&gt;alert(1)&lt;/script&gt;' showed a dialog: false and fired a JS alert: false; Query '%_' showed a dialog: false and fired a JS alert: false;</t>
  </si>
  <si>
    <t>MB-ADM-LST-N003</t>
  </si>
  <si>
    <t>Verify Member Benefits functionality for status filter no data</t>
  </si>
  <si>
    <t>Filter Inactive when no Inactive benefits</t>
  </si>
  <si>
    <t>Admin logged in with Member benefits access, currency HKD selected, all benefits Active</t>
  </si>
  <si>
    <t>1. Status = Inactive</t>
  </si>
  <si>
    <t>Empty state; no error</t>
  </si>
  <si>
    <t>Empty state shown: true</t>
  </si>
  <si>
    <t>MB-ADM-LST-N004</t>
  </si>
  <si>
    <t>Verify Member Benefits functionality for delete cancelled</t>
  </si>
  <si>
    <t>Click Delete, cancel in dialog</t>
  </si>
  <si>
    <t>1. Click Delete
2. Click Cancel in dialog</t>
  </si>
  <si>
    <t>Dialog closes; benefit and banners unchanged in list and client</t>
  </si>
  <si>
    <t>No change</t>
  </si>
  <si>
    <t>Benefit still listed after cancelling the delete: true</t>
  </si>
  <si>
    <t>MB-ADM-LST-N005</t>
  </si>
  <si>
    <t>Verify Member Benefits functionality for deleted benefit not recoverable</t>
  </si>
  <si>
    <t>Delete benefit, open its old Edit URL</t>
  </si>
  <si>
    <t>1. Copy Edit URL of benefit
2. Delete benefit
3. Open copied URL</t>
  </si>
  <si>
    <t>Record not found / error page; no empty form saved; benefit not restorable (hard delete)</t>
  </si>
  <si>
    <t>Name field on the old Edit URL showed ''</t>
  </si>
  <si>
    <t>MB-ADM-LST-N006</t>
  </si>
  <si>
    <t>Verify Member Benefits functionality for other currency hidden</t>
  </si>
  <si>
    <t>Benefit created in another currency not shown in HKD</t>
  </si>
  <si>
    <t>Admin logged in with Member benefits access, currency HKD selected, benefit exists only in another currency</t>
  </si>
  <si>
    <t>1. Select HKD
2. Search that benefit</t>
  </si>
  <si>
    <t>Benefit not found in HKD list</t>
  </si>
  <si>
    <t>Found under HKD: false</t>
  </si>
  <si>
    <t>ADMIN › ADD MEMBER BENEFIT</t>
  </si>
  <si>
    <t xml:space="preserve">   Add member benefit › General details</t>
  </si>
  <si>
    <t xml:space="preserve">      Positive cases – General details</t>
  </si>
  <si>
    <t>MB-ADM-ADD-P001</t>
  </si>
  <si>
    <t>Verify Member Benefits functionality for Add form layout</t>
  </si>
  <si>
    <t>Open Add member benefit, check layout</t>
  </si>
  <si>
    <t>Admin logged in with Member benefits access, currency HKD selected, Add member benefit page opened</t>
  </si>
  <si>
    <t>1. Check page</t>
  </si>
  <si>
    <t>Title 'Add member benefit'; Cancel + Save member benefit; 12 language tabs; General details: Member benefit name above icon upload and Status (AC02); Display order; NO Link field in General details (Link is inside each banner); Banners panel in empty state</t>
  </si>
  <si>
    <t>Heading was 'Add Member Benefit', Return link present: true, Save button present: true, 12 language tabs shown, name field present: true, a Link field outside any banner was present: false, Banners panel empty: true</t>
  </si>
  <si>
    <t>MB-ADM-ADD-P002</t>
  </si>
  <si>
    <t>Verify Member Benefits functionality for 12 language tabs</t>
  </si>
  <si>
    <t>Check tab order, click each tab</t>
  </si>
  <si>
    <t>1. Check tabs
2. Click each tab</t>
  </si>
  <si>
    <t>繁體, 简体, English, 日本語, ภาษาไทย, Vietnam, Spain, Malaysia, Indonesia, Filipino, Bengali, Portuguese</t>
  </si>
  <si>
    <t>12 tabs in this order; clicking switches name input and banner set to that language (AC03)</t>
  </si>
  <si>
    <t>Tabs appeared in order [繁體,简体,English,日語,ภาษาไทย,Vietnam,Spain,Malaysia,Indonesia,Filipino,Bengali,Portuguese], all 12 tabs were clickable: true</t>
  </si>
  <si>
    <t>MB-ADM-ADD-P003</t>
  </si>
  <si>
    <t>Verify Member Benefits functionality for save with 3 required languages only</t>
  </si>
  <si>
    <t>Fill EN, 繁體, 简体 names, icon, order, 1 banner with 3 images in each required language, save</t>
  </si>
  <si>
    <t>1. Fill names in EN, 繁體, 简体 only
2. Upload icon, Display order 1
3. Add banner
4. Upload small, mobile, PC in EN, 繁體 and 简体 tabs
5. Save</t>
  </si>
  <si>
    <t>EN: VIP Rewards / 繁體: 貴賓獎賞 / 简体: 贵宾奖赏 ; small.jpg / mobile.jpg (vertical) / pc.jpg (horizontal), each ≤ 5MB with valid dimensions – uploaded in each of EN, 繁體, 简体</t>
  </si>
  <si>
    <t>Benefit saved; listed by Order; optional languages blank.</t>
  </si>
  <si>
    <t>Benefit created</t>
  </si>
  <si>
    <t>Benefit was listed under the English filter: true</t>
  </si>
  <si>
    <t>MB-ADM-ADD-P004</t>
  </si>
  <si>
    <t>Verify Member Benefits functionality for save with all 12 languages</t>
  </si>
  <si>
    <t>Fill names in all 12 tabs, save</t>
  </si>
  <si>
    <t>Admin logged in with Member benefits access, currency HKD selected, Add member benefit page opened, icon, order, complete banner ready</t>
  </si>
  <si>
    <t>1. Fill names in all 12 tabs
2. Save
3. Check Language filter in list</t>
  </si>
  <si>
    <t>12 localized names</t>
  </si>
  <si>
    <t>Saved; each language filter shows the correct name</t>
  </si>
  <si>
    <t>All 12 language filters showed their own name correctly</t>
  </si>
  <si>
    <t>MB-ADM-ADD-P005</t>
  </si>
  <si>
    <t>Verify Member Benefits functionality for name kept when switching tabs</t>
  </si>
  <si>
    <t>Type names in several tabs, switch back and forth</t>
  </si>
  <si>
    <t>1. Type EN, 繁體, ภาษาไทย names
2. Switch tabs several times</t>
  </si>
  <si>
    <t>Each tab keeps its own value</t>
  </si>
  <si>
    <t>English tab showed 'EN 1790579802325' (expected 'EN 1790579802325'); 繁體 tab showed 'TC 1790579802325' (expected 'TC 1790579802325'); ภาษาไทย tab showed 'TH 1790579802325' (expected 'TH 1790579802325')</t>
  </si>
  <si>
    <t>MB-ADM-ADD-P006</t>
  </si>
  <si>
    <t>Verify Member Benefits functionality for name length boundary valid</t>
  </si>
  <si>
    <t>Enter 1 char and 100 char names, save</t>
  </si>
  <si>
    <t>Admin logged in with Member benefits access, currency HKD selected, Add member benefit page opened, other required fields valid</t>
  </si>
  <si>
    <t>1. EN name = 1 char, save
2. Edit: EN name = 100 chars, save</t>
  </si>
  <si>
    <t>'A' ; 100-char string</t>
  </si>
  <si>
    <t>Both saved; 100-char name displayed fully in admin</t>
  </si>
  <si>
    <t>Benefit saved</t>
  </si>
  <si>
    <t>1-char name saved: true, 100-char name saved: true, displayed name length: 100</t>
  </si>
  <si>
    <t>MB-ADM-ADD-P007</t>
  </si>
  <si>
    <t>Verify Member Benefits functionality for name multilingual and special characters</t>
  </si>
  <si>
    <t>Enter Thai/Japanese/emoji/symbols, save</t>
  </si>
  <si>
    <t>1. Enter each value
2. Save
3. Check list and client</t>
  </si>
  <si>
    <t>สิทธิพิเศษ ; 会員特典 ; 🎁 VIP ; A&amp;B &lt;b&gt;Test&lt;/b&gt;</t>
  </si>
  <si>
    <t>Saved and displayed exactly as entered; HTML shown as plain text, not rendered/executed</t>
  </si>
  <si>
    <t>Name was listed: true, displayed as 'A&amp;B Test1790579869537', HTML rendered as a live element: false (Accpetable)</t>
  </si>
  <si>
    <t>MB-ADM-ADD-P008</t>
  </si>
  <si>
    <t>Verify Member Benefits functionality for icon valid formats</t>
  </si>
  <si>
    <t>Upload icon in each allowed format</t>
  </si>
  <si>
    <t>1. Upload each file
2. Check preview</t>
  </si>
  <si>
    <t>icon.jpg, icon.jpeg, icon.png, icon.webp, icon.gif</t>
  </si>
  <si>
    <t>Each format accepted and previewed; GIF/WEBP shown correctly</t>
  </si>
  <si>
    <t>jpg format was accepted; jpeg format was accepted; png format was accepted; webp format was accepted; gif format was accepted; svg format was accepted;</t>
  </si>
  <si>
    <t>MB-ADM-ADD-P009</t>
  </si>
  <si>
    <t>Verify Member Benefits functionality for icon size boundary valid</t>
  </si>
  <si>
    <t>Upload icon exactly 5MB and just below</t>
  </si>
  <si>
    <t>1. Upload 5MB PNG
2. Upload 4.9MB JPG</t>
  </si>
  <si>
    <t>5.00MB ; 4.9MB</t>
  </si>
  <si>
    <t>Both accepted</t>
  </si>
  <si>
    <t>~5MB icon accepted: true, ~4.9MB icon accepted: true</t>
  </si>
  <si>
    <t>MB-ADM-ADD-P010</t>
  </si>
  <si>
    <t>Verify Member Benefits functionality for replace icon</t>
  </si>
  <si>
    <t>Upload icon A, then icon B, save</t>
  </si>
  <si>
    <t>1. Upload icon A
2. Upload icon B
3. Save</t>
  </si>
  <si>
    <t>iconA.png, iconB.png</t>
  </si>
  <si>
    <t>Only icon B kept and saved; list shows icon B</t>
  </si>
  <si>
    <t>Benefit with the replaced icon was listed: true</t>
  </si>
  <si>
    <t>MB-ADM-ADD-P011</t>
  </si>
  <si>
    <t>Verify Member Benefits functionality for benefit status</t>
  </si>
  <si>
    <t>Check default, choose Inactive, save</t>
  </si>
  <si>
    <t>1. Check Status default
2. Select Inactive
3. Save</t>
  </si>
  <si>
    <t>Active / Inactive</t>
  </si>
  <si>
    <t>Default Active; helper 'Inactive benefits are hidden from clients.'; saved Inactive shown in list and hidden on client</t>
  </si>
  <si>
    <t>Default status value was '1'; after saving as Inactive, the list showed status 'Inactive'</t>
  </si>
  <si>
    <t>MB-ADM-ADD-P012</t>
  </si>
  <si>
    <t>Verify Member Benefits functionality for display order valid values</t>
  </si>
  <si>
    <t>Enter 0, 1, 9999, duplicate existing order</t>
  </si>
  <si>
    <t>1. Enter each value
2. Save</t>
  </si>
  <si>
    <t>0 ; 1 ; 9999 ; same order as existing benefit</t>
  </si>
  <si>
    <t>All accepted (min 0, duplicates allowed); list sorted by Order asc.</t>
  </si>
  <si>
    <t>Order 0 accepted: true, order 1 accepted: true, order 9999 accepted: true, duplicate order value accepted: true</t>
  </si>
  <si>
    <t>MB-ADM-ADD-P013</t>
  </si>
  <si>
    <t>Verify Member Benefits functionality for cancel Add</t>
  </si>
  <si>
    <t>Fill form, click Cancel</t>
  </si>
  <si>
    <t>1. Fill names, icon, banner
2. Click Cancel</t>
  </si>
  <si>
    <t>Returns to list immediately (no confirmation); nothing saved</t>
  </si>
  <si>
    <t>No record created</t>
  </si>
  <si>
    <t>Confirmation dialog shown on cancel: false, benefit listed after cancel: false</t>
  </si>
  <si>
    <t>MB-ADM-ADD-P014</t>
  </si>
  <si>
    <t>Verify Member Benefits functionality for currency of new benefit</t>
  </si>
  <si>
    <t>Create benefit under HKD</t>
  </si>
  <si>
    <t>1. Create valid benefit under HKD
2. Switch admin currency
3. Check list</t>
  </si>
  <si>
    <t>Benefit belongs to HKD only</t>
  </si>
  <si>
    <t>Found under HKD: true, found under USDT: false</t>
  </si>
  <si>
    <t xml:space="preserve">      Negative cases – General details</t>
  </si>
  <si>
    <t>MB-ADM-ADD-N001</t>
  </si>
  <si>
    <t>Verify Member Benefits functionality for EN name missing</t>
  </si>
  <si>
    <t>Leave EN name empty, fill 繁體 and 简体, save</t>
  </si>
  <si>
    <t>1. Leave English empty
2. Fill 繁體, 简体
3. Try Save</t>
  </si>
  <si>
    <t>EN empty</t>
  </si>
  <si>
    <t>Benefit cannot be saved; required error on English name.</t>
  </si>
  <si>
    <t>Save was blocked with a dialog: true, message was 'Prompt message   The member benefit name is required for: English</t>
  </si>
  <si>
    <t>MB-ADM-ADD-N002</t>
  </si>
  <si>
    <t>Verify Member Benefits functionality for 繁體 name missing</t>
  </si>
  <si>
    <t>Leave 繁體 name empty, fill EN and 简体, save</t>
  </si>
  <si>
    <t>1. Leave 繁體 empty
2. Try Save</t>
  </si>
  <si>
    <t>繁體 empty</t>
  </si>
  <si>
    <t>Benefit cannot be saved; required error on 繁體 name</t>
  </si>
  <si>
    <t>Save was blocked with a dialog: true, message was 'Prompt message   The member benefit name is required for: 繁體</t>
  </si>
  <si>
    <t>MB-ADM-ADD-N003</t>
  </si>
  <si>
    <t>Verify Member Benefits functionality for 简体 name missing</t>
  </si>
  <si>
    <t>Leave 简体 name empty, fill EN and 繁體, save</t>
  </si>
  <si>
    <t>1. Leave 简体 empty
2. Try Save</t>
  </si>
  <si>
    <t>简体 empty</t>
  </si>
  <si>
    <t>Benefit cannot be saved; required error on 简体 name</t>
  </si>
  <si>
    <t>Save was blocked with a dialog: true, message was 'Prompt message   The member benefit name is required for: 简体</t>
  </si>
  <si>
    <t>MB-ADM-ADD-N004</t>
  </si>
  <si>
    <t>Verify Member Benefits functionality for whitespace-only name</t>
  </si>
  <si>
    <t>Enter only spaces in EN name, save</t>
  </si>
  <si>
    <t>Admin logged in with Member benefits access, currency HKD selected, Add member benefit page opened, other fields valid</t>
  </si>
  <si>
    <t>1. EN name = spaces
2. Try Save</t>
  </si>
  <si>
    <t>'     '</t>
  </si>
  <si>
    <t>Treated as empty; cannot save</t>
  </si>
  <si>
    <t>MB-ADM-ADD-N005</t>
  </si>
  <si>
    <t>Verify Member Benefits functionality for name over 150 characters</t>
  </si>
  <si>
    <t>Type/paste 151 chars in name</t>
  </si>
  <si>
    <t>1. Paste 151-char string
2. Try Save</t>
  </si>
  <si>
    <t>101 chars</t>
  </si>
  <si>
    <t>Input limited to 150 chars or validation error; 101st char not saved</t>
  </si>
  <si>
    <t>Name was listed: true, stored name length (from the Edit form): 150</t>
  </si>
  <si>
    <t>MB-ADM-ADD-N006</t>
  </si>
  <si>
    <t>Verify Member Benefits functionality for duplicate name</t>
  </si>
  <si>
    <t>Create benefit with same name as existing</t>
  </si>
  <si>
    <t>Admin logged in with Member benefits access, currency HKD selected, Add member benefit page opened, 'Exclusive Offers' exists in HKD</t>
  </si>
  <si>
    <t>1. EN name = 'Exclusive Offers'
2. Save</t>
  </si>
  <si>
    <t>Duplicate name allowed</t>
  </si>
  <si>
    <t>Row count with the same name: 2</t>
  </si>
  <si>
    <t>MB-ADM-ADD-N007</t>
  </si>
  <si>
    <t>Verify Member Benefits functionality for icon missing</t>
  </si>
  <si>
    <t>Fill everything except icon, save</t>
  </si>
  <si>
    <t>1. Fill names, order, complete banner
2. Skip icon
3. Try Save</t>
  </si>
  <si>
    <t>No icon</t>
  </si>
  <si>
    <t>Cannot save; 'One icon is required for every member benefit.'</t>
  </si>
  <si>
    <t>Save was blocked with a dialog: true, message was 'Prompt message   Please upload a benefit icon.</t>
  </si>
  <si>
    <t>MB-ADM-ADD-N008</t>
  </si>
  <si>
    <t>Verify Member Benefits functionality for icon over 5MB</t>
  </si>
  <si>
    <t>Upload 5.01MB icon</t>
  </si>
  <si>
    <t>1. Upload oversized icon</t>
  </si>
  <si>
    <t>icon_5.01MB.png ; icon_10MB.jpg</t>
  </si>
  <si>
    <t>Rejected with file size error; icon stays empty</t>
  </si>
  <si>
    <t>Dialog shown at upload: true, message was 'Prompt message   Image upload failed, the size exceeds 5MB</t>
  </si>
  <si>
    <t>MB-ADM-ADD-N009</t>
  </si>
  <si>
    <t>Verify Member Benefits functionality for icon invalid format</t>
  </si>
  <si>
    <t>Upload SVG, BMP, PDF, TIFF</t>
  </si>
  <si>
    <t>1. Upload each file</t>
  </si>
  <si>
    <t>icon.svg, icon.bmp, file.pdf, icon.tiff</t>
  </si>
  <si>
    <t>BMP/PDF/TIFF rejected with format error. SVG (listed in Figma helper) -&gt; OPEN QUESTION (OQ-42)</t>
  </si>
  <si>
    <t>dummy.bmp was rejected; dummy.pdf was rejected; dummy.tiff was rejected; svg was accepted</t>
  </si>
  <si>
    <t>MB-ADM-ADD-N011</t>
  </si>
  <si>
    <t>Verify Member Benefits functionality for icon non-square</t>
  </si>
  <si>
    <t>Upload 16:9 icon</t>
  </si>
  <si>
    <t>1. Upload icon_16x9.png</t>
  </si>
  <si>
    <t>1600x900 PNG</t>
  </si>
  <si>
    <t>Should have validation</t>
  </si>
  <si>
    <t>Dialog shown: false, message was '(no dialog)', icon accepted: true</t>
  </si>
  <si>
    <t>MB-ADM-ADD-N012</t>
  </si>
  <si>
    <t>Verify Member Benefits functionality for display order empty</t>
  </si>
  <si>
    <t>Leave Display order empty, save</t>
  </si>
  <si>
    <t>1. Clear Display order
2. Try Save</t>
  </si>
  <si>
    <t>empty</t>
  </si>
  <si>
    <t>Cannot save; Display order required (admin must input)</t>
  </si>
  <si>
    <t>Save was blocked with a dialog: true, message was 'Prompt message   Display order is required.</t>
  </si>
  <si>
    <t>MB-ADM-ADD-N013</t>
  </si>
  <si>
    <t>Verify Member Benefits functionality for display order invalid values</t>
  </si>
  <si>
    <t>Enter negative, decimal, non-numeric</t>
  </si>
  <si>
    <t>1. Enter each value
2. Try Save</t>
  </si>
  <si>
    <t>-1 ; 1.5 ; abc ; e ; +1</t>
  </si>
  <si>
    <t>Each rejected (input blocked or validation error); cannot save</t>
  </si>
  <si>
    <t>Value '-1' left the field showing '1', dialog shown: true; Value '1.5' left the field showing '15', dialog shown: true; Value 'abc' left the field showing '', dialog shown: true; Value '+1' left the field showing '1', dialog shown: true;</t>
  </si>
  <si>
    <t>MB-ADM-ADD-N014</t>
  </si>
  <si>
    <t>Verify Member Benefits functionality for double click save</t>
  </si>
  <si>
    <t>Double click Save quickly</t>
  </si>
  <si>
    <t>Admin logged in with Member benefits access, currency HKD selected, Add member benefit page opened, all fields valid</t>
  </si>
  <si>
    <t>1. Double click Save member benefit</t>
  </si>
  <si>
    <t>Only one benefit created</t>
  </si>
  <si>
    <t>One record created</t>
  </si>
  <si>
    <t>Row count after double-clicking Save: 1</t>
  </si>
  <si>
    <t xml:space="preserve">   Add member benefit › Banner manager</t>
  </si>
  <si>
    <t xml:space="preserve">      Positive cases – Banner manager</t>
  </si>
  <si>
    <t>MB-ADM-ADD-P015</t>
  </si>
  <si>
    <t>Verify Member Benefits functionality for banner empty state</t>
  </si>
  <si>
    <t>Open Add form, check Banners panel in each language tab</t>
  </si>
  <si>
    <t>1. Check Banners panel
2. Switch language tabs</t>
  </si>
  <si>
    <t>'No banners added yet' with guidance; Add banner at panel top and in empty state</t>
  </si>
  <si>
    <t>English tab empty: true, 繁體 tab empty: true, ภาษาไทย tab empty: true</t>
  </si>
  <si>
    <t>MB-ADM-ADD-P016</t>
  </si>
  <si>
    <t>Verify Member Benefits functionality for Add banner from top button</t>
  </si>
  <si>
    <t>Click Add banner in panel header</t>
  </si>
  <si>
    <t>1. Click Add banner (header)</t>
  </si>
  <si>
    <t>Banner 1 appears: Remove, Upload small banner, Upload mobile pop-up, Upload PC pop-up, Link (optional), Display order; text 'Active after all 3 uploads' shown blurred</t>
  </si>
  <si>
    <t>Banner 1 shown</t>
  </si>
  <si>
    <t>1 banner(s) shown, badge text 'Inactive - upload all 3 images', Link field present: true, Delete button present: true</t>
  </si>
  <si>
    <t>MB-ADM-ADD-P017</t>
  </si>
  <si>
    <t>Verify Member Benefits functionality for Add banner from empty state</t>
  </si>
  <si>
    <t>Click Add banner in empty state</t>
  </si>
  <si>
    <t>1. Click Add banner (empty state)</t>
  </si>
  <si>
    <t>Same Banner 1 form as header button</t>
  </si>
  <si>
    <t>Panel empty before clicking Add banner: true, banner count after: 1</t>
  </si>
  <si>
    <t>MB-ADM-ADD-P018</t>
  </si>
  <si>
    <t>Verify Member Benefits functionality for multiple banners no limit</t>
  </si>
  <si>
    <t>Add 10 banners</t>
  </si>
  <si>
    <t>1. Click Add banner 10 times</t>
  </si>
  <si>
    <t>10 banners</t>
  </si>
  <si>
    <t>Banner 1…10 appear, each with own uploads, order and link; no limit message</t>
  </si>
  <si>
    <t>10 banner(s) appeared, unexpected limit dialog shown: false</t>
  </si>
  <si>
    <t>MB-ADM-ADD-P019</t>
  </si>
  <si>
    <t>Verify Member Benefits functionality for banner images separate by language</t>
  </si>
  <si>
    <t>Add banner in EN, switch to 繁體 / 简体 / ภาษาไทย, back to EN</t>
  </si>
  <si>
    <t>1. EN tab: Add banner, upload 3 EN images
2. Switch to 繁體 tab
3. Switch to 简体 and ภาษาไทย tabs
4. Back to EN</t>
  </si>
  <si>
    <t>small.jpg / mobile.jpg (vertical) / pc.jpg (horizontal), each ≤ 5MB with valid dimensions</t>
  </si>
  <si>
    <t>Banner 1 also exists in every language tab with its own empty upload slots (EN images not copied); 繁體 and 简体 slots are required; EN still shows its images</t>
  </si>
  <si>
    <t>English slots uploaded: true, 繁體 slots stayed empty: true, 简体 slots stayed empty: true, ภาษาไทย slots stayed empty: true, English slots still uploaded after switching back: true</t>
  </si>
  <si>
    <t>MB-ADM-ADD-P020</t>
  </si>
  <si>
    <t>Verify Member Benefits functionality for upload preview in correct slot</t>
  </si>
  <si>
    <t>Upload small, mobile, PC images</t>
  </si>
  <si>
    <t>Admin logged in with Member benefits access, currency HKD selected, Add member benefit page opened, Names filled for EN / 繁體 (zh-tw) / 简体 (zh-cn), icon uploaded, Display order = 1, Banner 1 added in current language tab</t>
  </si>
  <si>
    <t>1. Upload small
2. Upload mobile pop-up
3. Upload PC pop-up</t>
  </si>
  <si>
    <t>Each preview shown in its own slot; mobile preview vertical, PC preview horizontal; upload labels full opacity and readable (AC05, AC10)</t>
  </si>
  <si>
    <t>Small banner slot uploaded: true, mobile pop-up slot uploaded: true, PC pop-up slot uploaded: true</t>
  </si>
  <si>
    <t>MB-ADM-ADD-P021</t>
  </si>
  <si>
    <t>Verify Member Benefits functionality for banner image formats and size</t>
  </si>
  <si>
    <t>Upload allowed formats and 5MB image</t>
  </si>
  <si>
    <t>1. Upload each file into each slot</t>
  </si>
  <si>
    <t>JPG, JPEG, PNG, WEBP, GIF ; 5.00MB image</t>
  </si>
  <si>
    <t>All accepted and previewed. Banner formats same as icon</t>
  </si>
  <si>
    <t>MB-ADM-ADD-P022</t>
  </si>
  <si>
    <t>Verify Member Benefits functionality for valid dimensions accepted</t>
  </si>
  <si>
    <t>Upload images with required dimensions</t>
  </si>
  <si>
    <t>1. Upload image with required dimension to each slot</t>
  </si>
  <si>
    <t>Dimensions per spec (placeholder)</t>
  </si>
  <si>
    <t>Accepted. Exact dimensions -&gt; OPEN QUESTION (OQ-45)</t>
  </si>
  <si>
    <t>All 3 correctly-dimensioned images were accepted: true</t>
  </si>
  <si>
    <t>MB-ADM-ADD-P023</t>
  </si>
  <si>
    <t>Verify Member Benefits functionality for Save enabled only after 3 required languages complete</t>
  </si>
  <si>
    <t>Upload 3 images in EN, then 繁體, then 简体, check Save after each</t>
  </si>
  <si>
    <t>1. Upload small, mobile, PC in EN → check text and Save
2. Same in 繁體 → check Save
3. Same in 简体 → check Save</t>
  </si>
  <si>
    <t>small.jpg / mobile.jpg (vertical) / pc.jpg (horizontal), each ≤ 5MB with valid dimensions – uploaded in each of EN, 繁體, 简体</t>
  </si>
  <si>
    <t>Save not clickable after EN only and after EN + 繁體; after 简体 is complete, 'Active after all 3 uploads' changes to "All 3 uploads complete" and Save member benefit becomes clickable</t>
  </si>
  <si>
    <t>Blocked with English only: true, blocked with English+繁體 only: true, succeeded once all 3 required languages complete: true</t>
  </si>
  <si>
    <t>MB-ADM-ADD-P024</t>
  </si>
  <si>
    <t>Verify Member Benefits functionality for upload order independent</t>
  </si>
  <si>
    <t>Upload PC, then mobile, then small</t>
  </si>
  <si>
    <t>1. Upload PC
2. Upload mobile
3. Upload small
4. Check Save after each step</t>
  </si>
  <si>
    <t>Save not clickable after steps 1–2; clickable after step 3</t>
  </si>
  <si>
    <t>Still incomplete after uploading PC only: true, still incomplete after PC+mobile: true, complete after all 3 slots uploaded: true</t>
  </si>
  <si>
    <t>MB-ADM-ADD-P025</t>
  </si>
  <si>
    <t>Verify Member Benefits functionality for replace image via button</t>
  </si>
  <si>
    <t>Upload image, click Replace, choose new image</t>
  </si>
  <si>
    <t>Admin logged in with Member benefits access, currency HKD selected, Add member benefit page opened, Names filled for EN / 繁體 (zh-tw) / 简体 (zh-cn), icon uploaded, Display order = 1, Banner 1 added in current language tab, all 3 uploaded</t>
  </si>
  <si>
    <t>1. Click Replace on mobile pop-up
2. Select new image</t>
  </si>
  <si>
    <t>mobile_v2.jpg</t>
  </si>
  <si>
    <t>New preview replaces old one; Save stays clickable</t>
  </si>
  <si>
    <t>Slot uploaded before replace: true, still uploaded after replace: true</t>
  </si>
  <si>
    <t>MB-ADM-ADD-P026</t>
  </si>
  <si>
    <t>Verify Member Benefits functionality for remove banner no confirmation</t>
  </si>
  <si>
    <t>Add 3 banners, remove Banner 2</t>
  </si>
  <si>
    <t>1. Add 3 complete banners
2. Click Remove on Banner 2</t>
  </si>
  <si>
    <t>Banner 2 removed immediately without confirmation; others keep their images</t>
  </si>
  <si>
    <t>Banner count before delete: 3, confirmation dialog shown: false, banner count after delete: 2, first banner still complete: true</t>
  </si>
  <si>
    <t>MB-ADM-ADD-P027</t>
  </si>
  <si>
    <t>Verify Member Benefits functionality for remove incomplete banner restores Save</t>
  </si>
  <si>
    <t>Complete Banner 1, add incomplete Banner 2, remove Banner 2</t>
  </si>
  <si>
    <t>Admin logged in with Member benefits access, currency HKD selected, Add member benefit page opened, Names filled for EN / 繁體 (zh-tw) / 简体 (zh-cn), icon uploaded, Display order = 1</t>
  </si>
  <si>
    <t>1. Banner 1 complete
2. Banner 2 small only (Save not clickable)
3. Remove Banner 2</t>
  </si>
  <si>
    <t>After removing Banner 2, Save becomes clickable</t>
  </si>
  <si>
    <t>Blocked while Banner 2 incomplete: true, save succeeded after removing Banner 2: true</t>
  </si>
  <si>
    <t>MB-ADM-ADD-P028</t>
  </si>
  <si>
    <t>Verify Member Benefits functionality for banner display order</t>
  </si>
  <si>
    <t>Set banner orders, save, check client</t>
  </si>
  <si>
    <t>Admin logged in with Member benefits access, currency HKD selected, Add member benefit page opened, 3 complete banners</t>
  </si>
  <si>
    <t>1. Orders 2, 0, 1
2. Save
3. Check client grid</t>
  </si>
  <si>
    <t>2 / 0 / 1 ; duplicate 1 / 1</t>
  </si>
  <si>
    <t>Saved; client grid ascending by order (0, 1, 2); duplicates accepted.</t>
  </si>
  <si>
    <t>Benefit with banner orders 2 and 0 was listed: true</t>
  </si>
  <si>
    <t>MB-ADM-ADD-P029</t>
  </si>
  <si>
    <t>Verify Member Benefits functionality for valid banner link (https)</t>
  </si>
  <si>
    <t>Enter https and http link in Banner 1, save, test on client</t>
  </si>
  <si>
    <t>Admin logged in with Member benefits access, currency HKD selected, Add member benefit page opened, Names filled for EN / 繁體 (zh-tw) / 简体 (zh-cn), icon uploaded, Display order = 1, Banner 1 added with images in EN, 繁體, 简体</t>
  </si>
  <si>
    <t>1. In Banner 1 enter Link (https)
2. Save
3. Client: open Banner 1 pop-up, tap Play</t>
  </si>
  <si>
    <t>https://newquark.com/promotion/agent</t>
  </si>
  <si>
    <t>https:// is accepted and saved on Banner 1 (one link, not per language); http:// is rejected with Prompt message "The link of banner 1 (&lt;language&gt;) must be a valid URL starting with https://."; only https:// is a valid prefix</t>
  </si>
  <si>
    <t>https:// persisted as 'https://newquark.com/promotion/agent'; http:// attempt showed a dialog: true with message 'Prompt message   The link of banner 1 (English) must be a valid URL starting with https://.</t>
  </si>
  <si>
    <t>MB-ADM-ADD-P030</t>
  </si>
  <si>
    <t>Verify Member Benefits functionality for no banner status control</t>
  </si>
  <si>
    <t>Check banner has no status selector</t>
  </si>
  <si>
    <t>1. Look for banner status dropdown/toggle</t>
  </si>
  <si>
    <t>No manual banner status; to disable a banner admin must Remove it</t>
  </si>
  <si>
    <t>Status dropdown present: false, status toggle present: false</t>
  </si>
  <si>
    <t>MB-ADM-ADD-P031</t>
  </si>
  <si>
    <t>Verify Member Benefits functionality for banner with required languages only</t>
  </si>
  <si>
    <t>Complete 3 required languages, leave optional languages empty, save</t>
  </si>
  <si>
    <t>1. Add banner
2. Upload 3 images in EN, 繁體, 简体
3. Leave other 9 languages empty
4. Save</t>
  </si>
  <si>
    <t>Benefit saved; optional-language will be blank; not required</t>
  </si>
  <si>
    <t>Benefit was listed: true</t>
  </si>
  <si>
    <t>MB-ADM-ADD-P032</t>
  </si>
  <si>
    <t>Verify Member Benefits functionality for banner with all 12 languages</t>
  </si>
  <si>
    <t>Upload 3 images in all 12 language tabs, save, check client per language</t>
  </si>
  <si>
    <t>1. Add banner
2. Upload small, mobile, PC in all 12 tabs
3. Save
4. Client: switch languages, open banner</t>
  </si>
  <si>
    <t>Language-specific images x 12</t>
  </si>
  <si>
    <t>Saved; client shows each language's own small banner and pop-up</t>
  </si>
  <si>
    <t>MB-ADM-ADD-P033</t>
  </si>
  <si>
    <t>Verify Member Benefits functionality for link shared across language tabs</t>
  </si>
  <si>
    <t>Enter Banner 1 link in EN tab, switch to 繁體 and ภาษาไทย</t>
  </si>
  <si>
    <t>1. EN tab: enter Link in Banner 1
2. Switch to 繁體 tab
3. Switch to ภาษาไทย tab</t>
  </si>
  <si>
    <t>Same Link value shown in Banner 1 in every language tab (link is not per language); images stay per language</t>
  </si>
  <si>
    <t>繁體 tab showed Link ''; ภาษาไทย tab showed Link ''</t>
  </si>
  <si>
    <t>MB-ADM-ADD-P034</t>
  </si>
  <si>
    <t>Verify Member Benefits functionality for link edited from another language tab</t>
  </si>
  <si>
    <t>Edit Banner 1 link in 繁體 tab, go back to EN</t>
  </si>
  <si>
    <t>Admin logged in with Member benefits access, currency HKD selected, Add member benefit page opened, Names filled for EN / 繁體 (zh-tw) / 简体 (zh-cn), icon uploaded, Display order = 1, Banner 1 added with images in EN, 繁體, 简体, Banner 1 link entered in EN</t>
  </si>
  <si>
    <t>1. 繁體 tab: change Banner 1 Link
2. Switch back to EN
3. Save and reopen Edit</t>
  </si>
  <si>
    <t>https://newquark.com/promotion/agent → https://newquark.com/vip</t>
  </si>
  <si>
    <t>EN shows the edited link; one shared value saved</t>
  </si>
  <si>
    <t>English tab showed Link 'https://newquark.com/promotion/agent'</t>
  </si>
  <si>
    <t>MB-ADM-ADD-P035</t>
  </si>
  <si>
    <t>Verify Member Benefits functionality for different link per banner</t>
  </si>
  <si>
    <t>Banner 1 link A, Banner 2 link B, save, reopen</t>
  </si>
  <si>
    <t>Admin logged in with Member benefits access, currency HKD selected, Add member benefit page opened, Names filled for EN / 繁體 (zh-tw) / 简体 (zh-cn), icon uploaded, Display order = 1, Banner 1 added with images in EN, 繁體, 简体, Banner 2 also complete</t>
  </si>
  <si>
    <t>1. Banner 1 Link = A
2. Banner 2 Link = B
3. Save
4. Reopen Edit
5. Client: tap Play on each</t>
  </si>
  <si>
    <t>A: https://newquark.com/promotion/agent ; B: https://newquark.com/deposit</t>
  </si>
  <si>
    <t>Each banner keeps its own link; client Play opens A for Banner 1 and B for Banner 2 (new tab)</t>
  </si>
  <si>
    <t>Banner 1's Link was 'https://newquark.com/promotion/agent'; Banner 2's Link was 'https://newquark.com/deposit'</t>
  </si>
  <si>
    <t>MB-ADM-ADD-P036</t>
  </si>
  <si>
    <t>Verify Member Benefits functionality for banner without link</t>
  </si>
  <si>
    <t>Leave Banner 1 link empty, save</t>
  </si>
  <si>
    <t>1. Leave Link empty
2. Save</t>
  </si>
  <si>
    <t>Link empty</t>
  </si>
  <si>
    <t>Saved – Link is not required.</t>
  </si>
  <si>
    <t xml:space="preserve">      Negative cases – Banner manager</t>
  </si>
  <si>
    <t>MB-ADM-ADD-N015</t>
  </si>
  <si>
    <t>Verify Member Benefits functionality for zero banners</t>
  </si>
  <si>
    <t>Fill general details, no banner, save</t>
  </si>
  <si>
    <t>1. Do not add banner
2. Try Save</t>
  </si>
  <si>
    <t>benefit cannot be saved;
Prompt message show "At least one banner is required. Click "Add banner" to create one."</t>
  </si>
  <si>
    <t>Dialog message was 'Prompt message   At least one banner is required. Click "Add banner" to create one.</t>
  </si>
  <si>
    <t>MB-ADM-ADD-N016</t>
  </si>
  <si>
    <t>Verify Member Benefits functionality for small banner missing</t>
  </si>
  <si>
    <t>Upload mobile and PC only</t>
  </si>
  <si>
    <t>1. Upload mobile
2. Upload PC
3. Check text and Save</t>
  </si>
  <si>
    <t>mobile.jpg, pc.jpg</t>
  </si>
  <si>
    <t>'Active after all 3 uploads' stays blurred; Save member benefit is not clickable; benefit cannot be saved</t>
  </si>
  <si>
    <t>Banner stayed inactive: true, save blocked with a dialog: true</t>
  </si>
  <si>
    <t>MB-ADM-ADD-N017</t>
  </si>
  <si>
    <t>Verify Member Benefits functionality for mobile pop-up missing</t>
  </si>
  <si>
    <t>Upload small and PC only</t>
  </si>
  <si>
    <t>1. Upload small
2. Upload PC
3. Check Save</t>
  </si>
  <si>
    <t>small.jpg, pc.jpg</t>
  </si>
  <si>
    <t>Text blurred; Save member benefit is not clickable; benefit cannot be saved</t>
  </si>
  <si>
    <t>MB-ADM-ADD-N018</t>
  </si>
  <si>
    <t>Verify Member Benefits functionality for PC pop-up missing</t>
  </si>
  <si>
    <t>Upload small and mobile only</t>
  </si>
  <si>
    <t>1. Upload small
2. Upload mobile
3. Check Save</t>
  </si>
  <si>
    <t>small.jpg, mobile.jpg</t>
  </si>
  <si>
    <t>MB-ADM-ADD-N019</t>
  </si>
  <si>
    <t>Verify Member Benefits functionality for one complete and one incomplete banner</t>
  </si>
  <si>
    <t>Banner 1 complete, Banner 2 small only</t>
  </si>
  <si>
    <t>1. Banner 1: all 3
2. Banner 2: small only
3. Check Save</t>
  </si>
  <si>
    <t>Save member benefit is not clickable; benefit cannot be saved until Banner 2 is completed or removed</t>
  </si>
  <si>
    <t>Save blocked with a dialog: true</t>
  </si>
  <si>
    <t>MB-ADM-ADD-N020</t>
  </si>
  <si>
    <t>Verify Member Benefits functionality for incomplete banner in another language tab</t>
  </si>
  <si>
    <t>EN banners complete, 简体 banner incomplete</t>
  </si>
  <si>
    <t>1. EN: 1 complete banner
2. 简体: add banner, upload small only
3. Return to EN tab
4. Check Save</t>
  </si>
  <si>
    <t>Save not clickable while any language has an incomplete banner</t>
  </si>
  <si>
    <t>MB-ADM-ADD-N021</t>
  </si>
  <si>
    <t>Verify Member Benefits functionality for required language without banner</t>
  </si>
  <si>
    <t>EN has banner, 繁體 and 简体 have none</t>
  </si>
  <si>
    <t>1. EN: 1 complete banner
2. 繁體, 简体: no banners
3. Try Save</t>
  </si>
  <si>
    <t>Save not clickable while 繁體, 简体: no banners</t>
  </si>
  <si>
    <t>MB-ADM-ADD-N022</t>
  </si>
  <si>
    <t>Verify Member Benefits functionality for banner image over 5MB</t>
  </si>
  <si>
    <t>Upload 5.01MB image to each slot</t>
  </si>
  <si>
    <t>1. Upload oversized file</t>
  </si>
  <si>
    <t>5.01MB ; 12MB</t>
  </si>
  <si>
    <t>Rejected with size error; slot stays empty; Save not clickable</t>
  </si>
  <si>
    <t>Dialog shown: true, message was 'Prompt message   Image upload failed, the size exceeds 5MB</t>
  </si>
  <si>
    <t>MB-ADM-ADD-N023</t>
  </si>
  <si>
    <t>Verify Member Benefits functionality for banner image invalid format</t>
  </si>
  <si>
    <t>Upload unsupported files</t>
  </si>
  <si>
    <t>banner.bmp, banner.pdf, banner.tiff, fake.jpg (text)</t>
  </si>
  <si>
    <t>Rejected with format error; slot empty</t>
  </si>
  <si>
    <t>dummy.bmp was rejected; dummy.pdf was rejected; dummy.tiff was rejected; fake.jpg (text content named .jpg) was rejected</t>
  </si>
  <si>
    <t>MB-ADM-ADD-N024</t>
  </si>
  <si>
    <t>Verify Member Benefits functionality for horizontal image in mobile slot</t>
  </si>
  <si>
    <t>Upload horizontal image to mobile pop-up</t>
  </si>
  <si>
    <t>1. Upload horizontal image to mobile pop-up</t>
  </si>
  <si>
    <t>1920x600 JPG</t>
  </si>
  <si>
    <t>Rejected by dimension validation; slot empty</t>
  </si>
  <si>
    <t>Dialog shown: false, message was '(no dialog)', image accepted: true</t>
  </si>
  <si>
    <t>MB-ADM-ADD-N025</t>
  </si>
  <si>
    <t>Verify Member Benefits functionality for vertical image in PC slot</t>
  </si>
  <si>
    <t>Upload vertical image to PC pop-up</t>
  </si>
  <si>
    <t>1. Upload vertical image to PC pop-up</t>
  </si>
  <si>
    <t>750x1334 JPG</t>
  </si>
  <si>
    <t>MB-ADM-ADD-N026</t>
  </si>
  <si>
    <t>Verify Member Benefits functionality for small banner wrong dimension</t>
  </si>
  <si>
    <t>Upload wrong size to small banner</t>
  </si>
  <si>
    <t>1. Upload very tall/very small image</t>
  </si>
  <si>
    <t>100x1000 PNG ; 10x10 PNG</t>
  </si>
  <si>
    <t xml:space="preserve">Rejected by dimension validation. </t>
  </si>
  <si>
    <t>MB-ADM-ADD-N027</t>
  </si>
  <si>
    <t>Verify Member Benefits functionality for upload interrupted</t>
  </si>
  <si>
    <t>Disconnect network during upload</t>
  </si>
  <si>
    <t>1. Start PC upload
2. Disconnect network</t>
  </si>
  <si>
    <t>pc.jpg + network off</t>
  </si>
  <si>
    <t>Error shown; slot empty; Save not clickable; no broken preview</t>
  </si>
  <si>
    <t>Slot stayed empty while offline: true, dialog shown while offline: false</t>
  </si>
  <si>
    <t>MB-ADM-ADD-N028</t>
  </si>
  <si>
    <t>Verify Member Benefits functionality for replace fails keeps old image</t>
  </si>
  <si>
    <t>Replace with interrupted network / invalid file</t>
  </si>
  <si>
    <t>1. Click Replace on PC pop-up
2. Upload oversized file / cut network</t>
  </si>
  <si>
    <t>pc_12MB.jpg ; network off</t>
  </si>
  <si>
    <t>Error shown; old image kept; Save stays clickable (OQ-14)</t>
  </si>
  <si>
    <t>Slot uploaded before replace: true, dialog shown on failed replace: false, slot still uploaded after failed replace: true</t>
  </si>
  <si>
    <t>MB-ADM-ADD-N029</t>
  </si>
  <si>
    <t>Verify Member Benefits functionality for remove single image</t>
  </si>
  <si>
    <t>Remove one image from complete banner</t>
  </si>
  <si>
    <t>1. Click Remove on small banner image
2. Check text and Save</t>
  </si>
  <si>
    <t>Slot returns to upload state; text blurred; Save not clickable</t>
  </si>
  <si>
    <t>Banner active before removal: true, slot returned to upload state: true, banner inactive after removal: true</t>
  </si>
  <si>
    <t>MB-ADM-ADD-N030</t>
  </si>
  <si>
    <t>Verify Member Benefits functionality for banner order invalid</t>
  </si>
  <si>
    <t>Empty, negative, decimal banner order</t>
  </si>
  <si>
    <t>empty ; -1 ; 0.5 ; abc</t>
  </si>
  <si>
    <t>Rejected; cannot save</t>
  </si>
  <si>
    <t>Value '' left the field showing '', dialog shown: true; Value '-1' left the field showing '1', dialog shown: true; Value '0.5' left the field showing '5', dialog shown: true; Value 'abc' left the field showing '', dialog shown: true;</t>
  </si>
  <si>
    <t>MB-ADM-ADD-N031</t>
  </si>
  <si>
    <t>Verify Member Benefits functionality for banner link without https</t>
  </si>
  <si>
    <t>Enter links without http:// or https:// prefix</t>
  </si>
  <si>
    <t>1. In Banner 1 enter each value in Link
2. Try Save</t>
  </si>
  <si>
    <t>http://newquark.com ; www.newquark.com ; newquark.com/promo ; ftp://newquark.com ; https//newquark.com ; javascript:alert(1)</t>
  </si>
  <si>
    <t>Each rejected with Prompt message "must be a valid URL starting with https://"; benefit cannot be saved; nothing executed. Only https:// is a valid prefix — http:// is also rejected, not just non-http(s) values.</t>
  </si>
  <si>
    <t>Link 'http://newquark.com' rejected: true; Link 'www.newquark.com' rejected: true; Link 'newquark.com/promo' rejected: true; Link 'ftp://newquark.com' rejected: true; Link 'https//newquark.com' rejected: true; Link 'javascript:alert(1)' rejected: true;</t>
  </si>
  <si>
    <t>MB-ADM-ADD-N032</t>
  </si>
  <si>
    <t>Verify Member Benefits functionality for one image missing in one required language</t>
  </si>
  <si>
    <t>EN and 繁體 complete, 简体 missing PC pop-up</t>
  </si>
  <si>
    <t>1. Add banner
2. Upload 3 images in EN and 繁體
3. 简体: upload small and mobile only
4. Check text and Save</t>
  </si>
  <si>
    <t>Save member benefit is not clickable; benefit cannot be saved until 简体 PC pop-up is uploaded</t>
  </si>
  <si>
    <t>MB-ADM-ADD-N033</t>
  </si>
  <si>
    <t>Verify Member Benefits functionality for optional language partially uploaded</t>
  </si>
  <si>
    <t>Required languages complete, ภาษาไทย small banner only</t>
  </si>
  <si>
    <t>1. Complete EN, 繁體, 简体
2. ภาษาไทย: upload small banner only
3. Check Save</t>
  </si>
  <si>
    <t>OPEN QUESTION (OQ-50) (blocks Save or ignored)</t>
  </si>
  <si>
    <t>Save blocked: true, message was 'Prompt message</t>
  </si>
  <si>
    <t>ADMIN › EDIT MEMBER BENEFIT</t>
  </si>
  <si>
    <t xml:space="preserve">   Edit member benefit › General details</t>
  </si>
  <si>
    <t>MB-ADM-EDT-P001</t>
  </si>
  <si>
    <t>Verify Member Benefits functionality for Edit page prefilled</t>
  </si>
  <si>
    <t>Click Edit, check all fields per language</t>
  </si>
  <si>
    <t>Admin logged in with Member benefits access, currency HKD selected, benefit 'Exclusive Offers' exists (names in 12 languages, icon, Banner 1 link A and Banner 2 link B, images in EN/繁體/简体)</t>
  </si>
  <si>
    <t>1. Click Edit
2. Check title
3. Check each tab's name and banners</t>
  </si>
  <si>
    <t>Title 'Edit member benefit'; same form as Add; names, icon, status, order prefilled; each banner prefilled with its images per language, display order and its own Link (same link value in every language tab)</t>
  </si>
  <si>
    <t>Heading was 'Edit Member Benefit', name prefilled as 'Automation ExclusiveOffers 1790578866012', icon prefilled: true, 2 banner(s) prefilled, Banner 1 Link 'https://newquark.com/promotion/agent', Banner 2 Link 'https://newquark.com/deposit'</t>
  </si>
  <si>
    <t>MB-ADM-EDT-P002</t>
  </si>
  <si>
    <t>Verify Member Benefits functionality for edit required language name</t>
  </si>
  <si>
    <t>Change EN name, save</t>
  </si>
  <si>
    <t>Admin logged in with Member benefits access, currency HKD selected, benefit 'Exclusive Offers' exists (names in 12 languages, icon, 2 complete banners per required language, Play links) and opened via Edit</t>
  </si>
  <si>
    <t>1. Change English name
2. Save
3. Check list and client</t>
  </si>
  <si>
    <t>Exclusive Offers → Member Perks</t>
  </si>
  <si>
    <t>Name updated; other languages unchanged; Updated time refreshed; client shows new name immediately</t>
  </si>
  <si>
    <t>Benefit updated</t>
  </si>
  <si>
    <t>繁體 name was 'Automation ExclusiveOffers 1790579003169_1041587' before and 'Automation ExclusiveOffers 1790579003169_1041587' after editing the English name</t>
  </si>
  <si>
    <t>MB-ADM-EDT-P003</t>
  </si>
  <si>
    <t>Verify Member Benefits functionality for add optional language name</t>
  </si>
  <si>
    <t>Fill empty ภาษาไทย name, save</t>
  </si>
  <si>
    <t>Admin logged in with Member benefits access, currency HKD selected, benefit 'Exclusive Offers' exists (names in 3 required languages, icon, 2 complete banners per required language, Play links) and opened via Edit</t>
  </si>
  <si>
    <t>1. ภาษาไทย tab: enter name
2. Save</t>
  </si>
  <si>
    <t>สิทธิพิเศษ</t>
  </si>
  <si>
    <t>Saved; list Language = ภาษาไทย shows name</t>
  </si>
  <si>
    <t>Listed under the ภาษาไทย filter: true</t>
  </si>
  <si>
    <t>MB-ADM-EDT-P004</t>
  </si>
  <si>
    <t>Verify Member Benefits functionality for clear optional language name</t>
  </si>
  <si>
    <t>Clear ภาษาไทย name, save</t>
  </si>
  <si>
    <t>1. Clear ภาษาไทย name
2. Save</t>
  </si>
  <si>
    <t>Saved; list shows blank for ภาษาไทย</t>
  </si>
  <si>
    <t>Still listed under the old ภาษาไทย name: false</t>
  </si>
  <si>
    <t>MB-ADM-EDT-P005</t>
  </si>
  <si>
    <t>Upload new icon, save</t>
  </si>
  <si>
    <t>1. Upload new icon
2. Save
3. Check list and client</t>
  </si>
  <si>
    <t>iconB.webp</t>
  </si>
  <si>
    <t>New icon in list and client tab</t>
  </si>
  <si>
    <t>Icon still marked uploaded: true, benefit still listed: true</t>
  </si>
  <si>
    <t>MB-ADM-EDT-P006</t>
  </si>
  <si>
    <t>Verify Member Benefits functionality for change benefit status</t>
  </si>
  <si>
    <t>Active → Inactive → Active</t>
  </si>
  <si>
    <t>1. Set Inactive, save, check client
2. Set Active, save, check client</t>
  </si>
  <si>
    <t>Inactive: tab and banners hidden on client; Active: shown again</t>
  </si>
  <si>
    <t>Status after setting Inactive was 'Inactive'; status after setting back to Active was 'Active'</t>
  </si>
  <si>
    <t>MB-ADM-EDT-P007</t>
  </si>
  <si>
    <t>Verify Member Benefits functionality for change display order</t>
  </si>
  <si>
    <t>Change benefit order</t>
  </si>
  <si>
    <t>1. Order 3 → 0
2. Save
3. Check list and client</t>
  </si>
  <si>
    <t>0</t>
  </si>
  <si>
    <t>List and client tab order updated; becomes default tab if first</t>
  </si>
  <si>
    <t>First row was 'Automation OrderChangeB 1790576466074' before the order change and 'Automation OrderChangeA 1790576466074' after</t>
  </si>
  <si>
    <t>MB-ADM-EDT-P008</t>
  </si>
  <si>
    <t>Verify Member Benefits functionality for save without changes</t>
  </si>
  <si>
    <t>Open Edit, save immediately</t>
  </si>
  <si>
    <t>1. Click Save without change</t>
  </si>
  <si>
    <t>Saved successfully; data unchanged</t>
  </si>
  <si>
    <t>Benefit still listed after saving with no changes: true</t>
  </si>
  <si>
    <t>MB-ADM-EDT-P009</t>
  </si>
  <si>
    <t>Verify Member Benefits functionality for cancel Edit</t>
  </si>
  <si>
    <t>Change name, remove banner, Cancel</t>
  </si>
  <si>
    <t>1. Change name
2. Remove a banner
3. Cancel
4. Reopen Edit</t>
  </si>
  <si>
    <t>No confirmation; nothing saved; original data shown</t>
  </si>
  <si>
    <t>Confirmation dialog on cancel: false, name after reopening was 'Automation CancelEdit 1790576227692', banner count after reopening: 2</t>
  </si>
  <si>
    <t>MB-ADM-EDT-N001</t>
  </si>
  <si>
    <t>Verify Member Benefits functionality for clear required name</t>
  </si>
  <si>
    <t>Clear EN / 繁體 / 简体 name, save</t>
  </si>
  <si>
    <t>1. Clear one required name
2. Try Save
3. Repeat for each required language</t>
  </si>
  <si>
    <t>EN ; 繁體 ; 简体</t>
  </si>
  <si>
    <t>Cannot save; required error; original data kept</t>
  </si>
  <si>
    <t>MB-ADM-EDT-N002</t>
  </si>
  <si>
    <t>Verify Member Benefits functionality for name over 100 characters</t>
  </si>
  <si>
    <t>Paste 101 chars</t>
  </si>
  <si>
    <t>1. Paste 101 chars into EN
2. Try Save</t>
  </si>
  <si>
    <t>Limited to 100 chars or validation error</t>
  </si>
  <si>
    <t>Benefit with the 150-char name was listed: true</t>
  </si>
  <si>
    <t>MB-ADM-EDT-N003</t>
  </si>
  <si>
    <t>Verify Member Benefits functionality for replace icon invalid</t>
  </si>
  <si>
    <t>Replace icon with oversized/invalid file</t>
  </si>
  <si>
    <t>1. Upload icon_6MB.png
2. Upload icon.bmp</t>
  </si>
  <si>
    <t>6MB PNG ; BMP</t>
  </si>
  <si>
    <t>Rejected; existing icon kept</t>
  </si>
  <si>
    <t>Dialog shown for oversized icon: false, dialog shown for .bmp icon: true, original icon still present: true</t>
  </si>
  <si>
    <t>MB-ADM-EDT-N004</t>
  </si>
  <si>
    <t>Verify Member Benefits functionality for invalid display order</t>
  </si>
  <si>
    <t>Change order to -1, 1.5, empty</t>
  </si>
  <si>
    <t>-1 ; 1.5 ; empty</t>
  </si>
  <si>
    <t>Value '-1' was rejected, dialog shown: true; Value '1.5' was rejected, dialog shown: true; Value '' was rejected, dialog shown: true;</t>
  </si>
  <si>
    <t xml:space="preserve">   Edit member benefit › Banner manager</t>
  </si>
  <si>
    <t>MB-ADM-EDT-P010</t>
  </si>
  <si>
    <t>Verify Member Benefits functionality for add banner to existing benefit</t>
  </si>
  <si>
    <t>Add banner, upload 3 images in EN, 繁體 and 简体, save</t>
  </si>
  <si>
    <t>1. Click Add banner
2. Upload small, mobile, PC in EN, 繁體, 简体
3. Enter Link and display order
4. Save
5. Check list (Language filter EN, 繁體, 简体) and client in each language</t>
  </si>
  <si>
    <t>small.jpg / mobile.jpg (vertical) / pc.jpg (horizontal), each ≤ 5MB with valid dimensions – uploaded in each of EN, 繁體, 简体 ; Link https://newquark.com/vip</t>
  </si>
  <si>
    <t>Banner saved; Banners count +1 under EN, 繁體 and 简体 language filter; new banner shown on client in EN, 繁體 and 简体, each with its own language images; its Play opens https://newquark.com/vip in a new tab</t>
  </si>
  <si>
    <t>Banners count was 1 before, Banners column showed '2' after adding one</t>
  </si>
  <si>
    <t>MB-ADM-EDT-P011</t>
  </si>
  <si>
    <t>Verify Member Benefits functionality for remove existing banner</t>
  </si>
  <si>
    <t>Remove Banner 2, save, check all language tabs, list and client</t>
  </si>
  <si>
    <t>1. Remove Banner 2 (no confirmation)
2. Check other language tabs
3. Save
4. Check list and client in EN, 繁體, 简体</t>
  </si>
  <si>
    <t>Banner 2 removed from all language tabs; Banners count −1 in each language filter; gone from client in every language</t>
  </si>
  <si>
    <t>Banners count was 2 before, confirmation dialog on delete: false, Banners column showed '1' after removal</t>
  </si>
  <si>
    <t>MB-ADM-EDT-P012</t>
  </si>
  <si>
    <t>Verify Member Benefits functionality for replace existing banner image</t>
  </si>
  <si>
    <t>Replace PC pop-up, save</t>
  </si>
  <si>
    <t>1. Click Replace on PC pop-up
2. Upload new image
3. Save
4. Client PC: open banner</t>
  </si>
  <si>
    <t>pc_v2.jpg</t>
  </si>
  <si>
    <t>New PC pop-up shown on client; other images unchanged</t>
  </si>
  <si>
    <t>PC pop-up slot uploaded after replace: true, benefit still listed: true</t>
  </si>
  <si>
    <t>MB-ADM-EDT-P013</t>
  </si>
  <si>
    <t>Verify Member Benefits functionality for change banner order</t>
  </si>
  <si>
    <t>Swap banner orders, save</t>
  </si>
  <si>
    <t>1. Banner 1 order 1 → 2, Banner 2 order 2 → 1
2. Save
3. Check client</t>
  </si>
  <si>
    <t>Client grid order swapped</t>
  </si>
  <si>
    <t>Benefit still listed after swapping banner orders: true</t>
  </si>
  <si>
    <t>MB-ADM-EDT-P014</t>
  </si>
  <si>
    <t>Verify Member Benefits functionality for change one banner link</t>
  </si>
  <si>
    <t>Change Banner 1 link only, save</t>
  </si>
  <si>
    <t>Admin logged in with Member benefits access, currency HKD selected, benefit 'Exclusive Offers' exists (names in 12 languages, icon, Banner 1 link A and Banner 2 link B, images in EN/繁體/简体) and opened via Edit</t>
  </si>
  <si>
    <t>1. Change Banner 1 Link
2. Save
3. Client: tap Play on Banner 1, then on Banner 2</t>
  </si>
  <si>
    <t>Banner 1: https://newquark.com/promotion/agent → https://newquark.com/vip</t>
  </si>
  <si>
    <t>Banner 1 Play opens the new link in a new tab; Banner 2 still opens link B</t>
  </si>
  <si>
    <t>Banner 1's Link was 'https://newquark.com/vip'; Banner 2's Link was 'https://newquark.com/deposit'</t>
  </si>
  <si>
    <t>MB-ADM-EDT-P015</t>
  </si>
  <si>
    <t>Verify Member Benefits functionality for language image isolation</t>
  </si>
  <si>
    <t>Replace EN images only, save, check 繁體 and 简体</t>
  </si>
  <si>
    <t>1. EN tab: Replace small and mobile images of Banner 1
2. Save
3. Check 繁體 and 简体 images of Banner 1 (admin and client)</t>
  </si>
  <si>
    <t>small_en_v2.jpg, mobile_en_v2.jpg</t>
  </si>
  <si>
    <t>Only EN images changed; 繁體 and 简体 images of the same banner unchanged</t>
  </si>
  <si>
    <t>繁體 slots uploaded before the EN-only edit: true, still uploaded after: true</t>
  </si>
  <si>
    <t>MB-ADM-EDT-P016</t>
  </si>
  <si>
    <t>Verify Member Benefits functionality for complete re-uploaded image</t>
  </si>
  <si>
    <t>Remove image then upload new one, save</t>
  </si>
  <si>
    <t>1. Remove small banner image (Save disabled)
2. Upload new small banner
3. Save</t>
  </si>
  <si>
    <t>small_v2.jpg</t>
  </si>
  <si>
    <t>Save clickable again after upload; saved</t>
  </si>
  <si>
    <t>Banner inactive after removing the image: true, active again after re-upload: true, benefit still listed: true</t>
  </si>
  <si>
    <t>MB-ADM-EDT-P017</t>
  </si>
  <si>
    <t>Verify Member Benefits functionality for clear existing banner link</t>
  </si>
  <si>
    <t>Clear Banner 1 link, save</t>
  </si>
  <si>
    <t>1. Clear Banner 1 Link
2. Save
3. Reopen Edit</t>
  </si>
  <si>
    <t>Link A → empty</t>
  </si>
  <si>
    <t xml:space="preserve">Saved (Link optional); Banner 1 link empty, Banner 2 link unchanged. </t>
  </si>
  <si>
    <t>Banner 1's Link was ''; Banner 2's Link was 'https://newquark.com/deposit'</t>
  </si>
  <si>
    <t>MB-ADM-EDT-N005</t>
  </si>
  <si>
    <t>Verify Member Benefits functionality for remove all banners</t>
  </si>
  <si>
    <t>Remove every banner, save</t>
  </si>
  <si>
    <t>1. Remove all banners in all languages
2. Try Save</t>
  </si>
  <si>
    <t>benefit cannot be saved;
Prompt message show "At least one banner is required. Click ""Add banner"" to create one."</t>
  </si>
  <si>
    <t>MB-ADM-EDT-N006</t>
  </si>
  <si>
    <t>Verify Member Benefits functionality for remove image from existing banner</t>
  </si>
  <si>
    <t>Remove mobile pop-up of existing banner</t>
  </si>
  <si>
    <t>1. Remove mobile pop-up
2. Check text and Save</t>
  </si>
  <si>
    <t>Banner marked inactive: true, save blocked with a dialog: true</t>
  </si>
  <si>
    <t>MB-ADM-EDT-N007</t>
  </si>
  <si>
    <t>Verify Member Benefits functionality for new incomplete banner</t>
  </si>
  <si>
    <t>Add banner with small only</t>
  </si>
  <si>
    <t>1. Add banner
2. Upload small only
3. Check Save</t>
  </si>
  <si>
    <t>small.jpg</t>
  </si>
  <si>
    <t>Save member benefit is not clickable; benefit cannot be saved</t>
  </si>
  <si>
    <t>MB-ADM-EDT-N008</t>
  </si>
  <si>
    <t>Replace with oversized/interrupted upload</t>
  </si>
  <si>
    <t>1. Replace mobile pop-up with 12MB file / cut network
2. Save
3. Check client</t>
  </si>
  <si>
    <t>12MB ; network off</t>
  </si>
  <si>
    <t>Error; old image kept; save allowed; client still shows old image</t>
  </si>
  <si>
    <t>No change to image</t>
  </si>
  <si>
    <t>Slot uploaded before replace: true, dialog shown on failed replace: false, slot still uploaded after: true, benefit still listed: true</t>
  </si>
  <si>
    <t>MB-ADM-EDT-N009</t>
  </si>
  <si>
    <t>Verify Member Benefits functionality for wrong dimension on replace</t>
  </si>
  <si>
    <t>Replace PC pop-up with vertical image</t>
  </si>
  <si>
    <t>1. Replace PC pop-up with vertical image</t>
  </si>
  <si>
    <t>750x1334</t>
  </si>
  <si>
    <t>Rejected; old image kept</t>
  </si>
  <si>
    <t>Dialog shown: false, message was '(no dialog)'</t>
  </si>
  <si>
    <t>MB-ADM-EDT-N010</t>
  </si>
  <si>
    <t>Verify Member Benefits functionality for cannot deactivate banner</t>
  </si>
  <si>
    <t>Try to hide one banner without removing</t>
  </si>
  <si>
    <t>1. Look for banner status/toggle</t>
  </si>
  <si>
    <t>No option; only Remove disables a banner</t>
  </si>
  <si>
    <t>Status control present: false</t>
  </si>
  <si>
    <t>MB-ADM-EDT-N011</t>
  </si>
  <si>
    <t>Verify Member Benefits functionality for cancel after removing banner</t>
  </si>
  <si>
    <t>Remove banner then Cancel</t>
  </si>
  <si>
    <t>1. Remove Banner 1
2. Cancel
3. Check client</t>
  </si>
  <si>
    <t>Banner still exists in admin and client</t>
  </si>
  <si>
    <t>Banner count after cancelling: 2</t>
  </si>
  <si>
    <t>MB-ADM-EDT-N012</t>
  </si>
  <si>
    <t>Verify Member Benefits functionality for new banner in EN only</t>
  </si>
  <si>
    <t>Add banner, upload 3 images in EN only, save</t>
  </si>
  <si>
    <t>Admin logged in with Member benefits access, currency HKD selected, benefit 'Exclusive Offers' exists (names in 12 languages, icon, 2 complete banners with EN/繁體/简体 images, Play links) and opened via Edit</t>
  </si>
  <si>
    <t>1. Click Add banner
2. Upload small, mobile, PC in EN
3. Leave 繁體, 简体 empty
4. Check Save</t>
  </si>
  <si>
    <t>Save member benefit is not clickable; benefit cannot be saved until 繁體 and 简体 images are uploaded or the banner is removed</t>
  </si>
  <si>
    <t>MB-ADM-EDT-N013</t>
  </si>
  <si>
    <t>Verify Member Benefits functionality for remove image in one required language</t>
  </si>
  <si>
    <t>Remove 繁體 mobile pop-up of existing banner</t>
  </si>
  <si>
    <t>1. 繁體 tab: Remove mobile pop-up of Banner 1
2. Check text and Save</t>
  </si>
  <si>
    <t>Text blurred; Save member benefit is not clickable; benefit cannot be saved until 繁體 mobile pop-up is re-uploaded</t>
  </si>
  <si>
    <t>Quick_tour</t>
  </si>
  <si>
    <t>Admin – Quick Tour Banner List</t>
  </si>
  <si>
    <t>QT-A-LIST_N02</t>
  </si>
  <si>
    <t>Verify Quick Tour list functionality for badge without page banner</t>
  </si>
  <si>
    <t>Open list with no page banner, check badge</t>
  </si>
  <si>
    <t>Admin logged in with Quick Tour Banner permission; currency HKD selected; page banner never set up for this currency</t>
  </si>
  <si>
    <t>1. Open the list
2. Check the badge area</t>
  </si>
  <si>
    <t>No page banner</t>
  </si>
  <si>
    <t>Badge does not show 'Page banner ready'; indicates page banner is not set up (exact wording: see Open Question)</t>
  </si>
  <si>
    <t>None</t>
  </si>
  <si>
    <t>Badge text was 'Page banner ready · Active · 3/12 languages · PC + Mobile', data-ready=true</t>
  </si>
  <si>
    <t>QT-A-LIST_P15</t>
  </si>
  <si>
    <t>Verify Quick Tour list functionality for pagination</t>
  </si>
  <si>
    <t>Create more than page size, change Show, check paging</t>
  </si>
  <si>
    <t>Admin logged in with Quick Tour Banner permission; currency HKD selected; 12 tabs exist</t>
  </si>
  <si>
    <t>1. Set Show = 10
2. Check paging info and click Next
3. Set Show = 50</t>
  </si>
  <si>
    <t>12 tabs</t>
  </si>
  <si>
    <t>Show 10: page 1 shows 10 rows, page 2 shows 2; info text updates. Show 50: all 12 on one page</t>
  </si>
  <si>
    <t>Show dropdown options were [20, 50, 100, 150, 200]</t>
  </si>
  <si>
    <t>Admin – Add / Update Content Tab</t>
  </si>
  <si>
    <t>QT-A-FORM_P04</t>
  </si>
  <si>
    <t>Verify content tab form functionality for image of any size</t>
  </si>
  <si>
    <t>Upload very small and very large dimension images, save</t>
  </si>
  <si>
    <t>Admin logged in with Quick Tour Banner permission; currency HKD selected; on Add content tab page</t>
  </si>
  <si>
    <t>1. Upload a 50x50 px Desktop image and a 3000x6000 px Phone image on required languages
2. Save changes</t>
  </si>
  <si>
    <t>Different dimensions</t>
  </si>
  <si>
    <t>Desktop and Phone images must each match their own recommended dimension (Desktop: 2788 x 796 px, Phone: 750 x 264 px, per the page's own hint text under each field); off-size images (e.g. 50x50, 3000x6000) are rejected with a validation message naming the required size � confirmed correct by product owner</t>
  </si>
  <si>
    <t>Tab created only when both images match their field's own recommended dimension</t>
  </si>
  <si>
    <t>Validation dialog appeared while uploading 50x50/3000x6000: true (message: 'Prompt message   The image size should be 750 and 264</t>
  </si>
  <si>
    <t>QT-A-FORM_N12</t>
  </si>
  <si>
    <t>Verify content tab form functionality for invalid Order input</t>
  </si>
  <si>
    <t>Enter letters/negative/blank Order, save</t>
  </si>
  <si>
    <t>Admin logged in with Quick Tour Banner permission; currency HKD selected; on Add content tab page; required languages complete</t>
  </si>
  <si>
    <t>1. Enter Order = 'abc', try to save
2. Enter Order = -1, try to save
3. Leave Order blank, try to save</t>
  </si>
  <si>
    <t>abc / -1 / blank</t>
  </si>
  <si>
    <t>The field is not allow to input</t>
  </si>
  <si>
    <t>After typing 'abc': '' (expected empty); after typing '-1': '-1', save blocked: true, message: 'Prompt message   Order must be a whole number of 0 or more.</t>
  </si>
  <si>
    <t>QT-A-FORM_N14</t>
  </si>
  <si>
    <t>Verify content tab form functionality for optional language title only</t>
  </si>
  <si>
    <t>Enter Vietnam title without images, save, check client</t>
  </si>
  <si>
    <t>Admin logged in with Quick Tour Banner permission; currency HKD selected; existing tab 'About Us' with 繁體/简体/English complete</t>
  </si>
  <si>
    <t>1. Modify About Us, Vietnam tab
2. Enter title only, no images
3. Save changes
4. Check client in Vietnam</t>
  </si>
  <si>
    <t>Vietnam title only</t>
  </si>
  <si>
    <t>Save succeeds; the optional language (Vietnam) is accepted with only a title and no images, and is counted toward the Languages total � confirmed correct by product owner</t>
  </si>
  <si>
    <t>Saved, counted toward Languages (no image required for optional language)</t>
  </si>
  <si>
    <t>Languages before='3/12', after='4/12'</t>
  </si>
  <si>
    <t>Admin – Override (繁體 → other languages)</t>
  </si>
  <si>
    <t>QT-A-OVR_P10</t>
  </si>
  <si>
    <t>Verify override functionality for Languages count increase</t>
  </si>
  <si>
    <t>Tick empty optional language, save, check list count</t>
  </si>
  <si>
    <t>Admin logged in with Quick Tour Banner permission; currency HKD selected; existing tab 'About Us' with 繁體/简体/English complete; tab 3/12</t>
  </si>
  <si>
    <t>1. On 繁體 tab tick Bengali (currently empty)
2. Save changes
3. Check list</t>
  </si>
  <si>
    <t>Tick: Bengali</t>
  </si>
  <si>
    <t>Bengali gets 繁體 content; Languages count 3/12 → 4/12</t>
  </si>
  <si>
    <t>Bengali linked</t>
  </si>
  <si>
    <t>Before='3/12', after='4/12'</t>
  </si>
  <si>
    <t>QT-A-OVR_P11</t>
  </si>
  <si>
    <t>Verify override functionality for persistence after save</t>
  </si>
  <si>
    <t>Tick languages, save, reopen, check ticks and content</t>
  </si>
  <si>
    <t>Admin logged in with Quick Tour Banner permission; currency HKD selected; existing tab 'About Us' with 繁體/简体/English complete; 日本語 and Vietnam have their own different content</t>
  </si>
  <si>
    <t>1. Tick 日本語 and Vietnam
2. Save changes
3. Reopen Modify for About Us</t>
  </si>
  <si>
    <t>Tick: 日本語, Vietnam</t>
  </si>
  <si>
    <t>Both languages still show ??'s copied content after save and reopening; the override ticks themselves return to unticked (one-time copy, not a persisted link) � confirmed correct by product owner</t>
  </si>
  <si>
    <t>Copied (one-time, not linked)</t>
  </si>
  <si>
    <t>日語 ticked: false (expected false), title: 'AutoQT Override 1791193797374'; Vietnam ticked: false (expected false), title: 'AutoQT Override 1791193797374' (expected 'AutoQT Override 1791193797374' for both)</t>
  </si>
  <si>
    <t>QT-A-OVR_P12</t>
  </si>
  <si>
    <t>Verify override functionality for untick All languages</t>
  </si>
  <si>
    <t>Tick All languages, untick All, check languages</t>
  </si>
  <si>
    <t>1. Tick 'All languages'
2. Untick 'All languages'
3. Check each language tab</t>
  </si>
  <si>
    <t>All → untick</t>
  </si>
  <si>
    <t>All 11 checkboxes unticked; each language keeps the copied 繁體 content</t>
  </si>
  <si>
    <t>Unlinked</t>
  </si>
  <si>
    <t>Any checkbox still ticked after untick-all: false; 日語 title after untick-all was 'AutoQT Override 1790821728645' (expected 'AutoQT Override 1790821728645')</t>
  </si>
  <si>
    <t>QT-A-OVR_N01</t>
  </si>
  <si>
    <t>Verify override functionality for other language tabs</t>
  </si>
  <si>
    <t>Open 简体/English/Vietnam tab, check no Override</t>
  </si>
  <si>
    <t>1. Modify About Us
2. Open 简体, English and Vietnam tabs</t>
  </si>
  <si>
    <t>N/A</t>
  </si>
  <si>
    <t>'Override above contents to' section is not shown on any tab except 繁體</t>
  </si>
  <si>
    <t>Not shown on any of them</t>
  </si>
  <si>
    <t>QT-A-OVR_N02</t>
  </si>
  <si>
    <t>Verify override functionality for leave without saving after tick</t>
  </si>
  <si>
    <t>Tick 日本語, Return to list without save, reopen</t>
  </si>
  <si>
    <t>1. On 繁體 tab tick 日本語
2. Click Return to list without saving
3. Reopen Modify, open 日本語 tab</t>
  </si>
  <si>
    <t>Tick without save</t>
  </si>
  <si>
    <t>日本語 keeps its original content and is not ticked (assumed; see Open Question)</t>
  </si>
  <si>
    <t>日語 ticked on reopen: false (expected false); 日語 title was 'AutoQT Override 1790819821482 JA-own' (expected original 'AutoQT Override 1790819821482 JA-own')</t>
  </si>
  <si>
    <t>QT-A-OVR_N03</t>
  </si>
  <si>
    <t>Verify override functionality for 繁體 incomplete on Add page</t>
  </si>
  <si>
    <t>On new tab tick 日本語 before filling 繁體</t>
  </si>
  <si>
    <t>1. On 繁體 tab tick 日本語 with 繁體 empty
2. Open 日本語 tab
3. Fill 繁體 content
4. Open 日本語 tab again</t>
  </si>
  <si>
    <t>繁體 empty then filled</t>
  </si>
  <si>
    <t>日本語 stays empty at first, then follows 繁體 once filled (see Open Question)</t>
  </si>
  <si>
    <t>日語 title before filling 繁體: '' (expected empty); after filling 繁體: 'AutoQT OvrTcIncomplete 1790821518517' (expected 'AutoQT OvrTcIncomplete 1790821518517')</t>
  </si>
  <si>
    <t>Admin – Configure Page Banner</t>
  </si>
  <si>
    <t>QT-A-PB_P01</t>
  </si>
  <si>
    <t>Verify page banner functionality for page layout</t>
  </si>
  <si>
    <t>Click Configure page banner, check fields</t>
  </si>
  <si>
    <t>Admin logged in with Quick Tour Banner permission; currency HKD selected</t>
  </si>
  <si>
    <t>1. From list click 'Configure page banner'
2. Check header, tabs and fields</t>
  </si>
  <si>
    <t>'Quick Tour Banner · Configure Page Banner' opens; section 'Client page banner · Home page', 12 language tabs, PC horizontal banner*, Mobile banner*, Override section, Save changes / Return to list. No Title, Order or Status fields</t>
  </si>
  <si>
    <t>Heading 'Configure Page Banner', 12 tabs, PC label: true, Mobile label: true, Override visible on 繁體: true, Save visible: true, Return visible: true, a Title text field present: false, an Order number field present: false</t>
  </si>
  <si>
    <t>QT-A-PB_P02</t>
  </si>
  <si>
    <t>Verify page banner functionality for required languages complete</t>
  </si>
  <si>
    <t>Upload PC and Mobile for 繁體/简体/English, save</t>
  </si>
  <si>
    <t>Admin logged in with Quick Tour Banner permission; currency HKD selected; on Configure Page Banner page</t>
  </si>
  <si>
    <t>1. Upload PC and Mobile banners for 繁體, 简体, English
2. Save changes
3. Check list badge</t>
  </si>
  <si>
    <t>3 languages</t>
  </si>
  <si>
    <t>Save succeeds; badge shows page banner ready with 3/12 languages</t>
  </si>
  <si>
    <t>Page banner set</t>
  </si>
  <si>
    <t>Badge text: 'Page banner ready · Active · 3/12 languages · PC + Mobile', ready: true</t>
  </si>
  <si>
    <t>QT-A-PB_P03</t>
  </si>
  <si>
    <t>Verify page banner functionality for optional languages</t>
  </si>
  <si>
    <t>Upload banners for optional languages, save, check badge</t>
  </si>
  <si>
    <t>Admin logged in with Quick Tour Banner permission; currency HKD selected; on Configure Page Banner page; required languages done</t>
  </si>
  <si>
    <t>1. Upload PC and Mobile for 日本語 and Spain
2. Save changes</t>
  </si>
  <si>
    <t>5 languages</t>
  </si>
  <si>
    <t>Save succeeds; badge shows 5/12</t>
  </si>
  <si>
    <t>Page banner updated</t>
  </si>
  <si>
    <t>Badge text: 'Page banner ready · Active · 5/12 languages · PC + Mobile'</t>
  </si>
  <si>
    <t>QT-A-PB_P04</t>
  </si>
  <si>
    <t>Verify page banner functionality for override from 繁體</t>
  </si>
  <si>
    <t>Tick Vietnam on 繁體 tab, check Vietnam banners</t>
  </si>
  <si>
    <t>Admin logged in with Quick Tour Banner permission; currency HKD selected; on Configure Page Banner page; 繁體 banners uploaded</t>
  </si>
  <si>
    <t>1. On 繁體 tab tick Vietnam
2. Open Vietnam tab</t>
  </si>
  <si>
    <t>Tick: Vietnam</t>
  </si>
  <si>
    <t>Vietnam PC and Mobile banners are copied from 繁體 immediately</t>
  </si>
  <si>
    <t>Vietnam linked</t>
  </si>
  <si>
    <t>Vietnam PC uploaded: true, Mobile uploaded: true</t>
  </si>
  <si>
    <t>QT-A-PB_P05</t>
  </si>
  <si>
    <t>Verify page banner functionality for override sync and untick</t>
  </si>
  <si>
    <t>Tick Vietnam, change 繁體, untick, change 繁體 again</t>
  </si>
  <si>
    <t>1. Tick Vietnam
2. Replace 繁體 PC banner, check Vietnam
3. Untick Vietnam
4. Replace 繁體 PC banner again, check Vietnam</t>
  </si>
  <si>
    <t>Two 繁體 changes</t>
  </si>
  <si>
    <t>First change syncs to Vietnam; after untick Vietnam keeps the copied banner and is not affected by the second change</t>
  </si>
  <si>
    <t>Vietnam unlinked</t>
  </si>
  <si>
    <t>Vietnam PC uploaded after first (ticked) change: true; still uploaded after untick + second change: true</t>
  </si>
  <si>
    <t>QT-A-PB_P06</t>
  </si>
  <si>
    <t>Verify page banner functionality for image replacement on client</t>
  </si>
  <si>
    <t>Replace 繁體 Mobile banner, save, check client</t>
  </si>
  <si>
    <t>Admin logged in with Quick Tour Banner permission; currency HKD selected; on Configure Page Banner page; banners already set</t>
  </si>
  <si>
    <t>1. On 繁體 delete Mobile banner and upload new
2. Save changes
3. Open client HOME on mobile in 繁體</t>
  </si>
  <si>
    <t>New mobile banner</t>
  </si>
  <si>
    <t>Client HOME bottom banner shows the new mobile image</t>
  </si>
  <si>
    <t>Updated</t>
  </si>
  <si>
    <t>Delete succeeded: true (expected true); re-uploaded ok: true; persisted after save+reopen: true</t>
  </si>
  <si>
    <t>QT-A-PB_P07</t>
  </si>
  <si>
    <t>Verify page banner functionality for Return to list</t>
  </si>
  <si>
    <t>Change banner, Return to list without saving, reopen</t>
  </si>
  <si>
    <t>1. Upload a different English PC banner
2. Click Return to list
3. Reopen Configure page banner</t>
  </si>
  <si>
    <t>Unsaved change</t>
  </si>
  <si>
    <t>Change is not saved; previous banner remains</t>
  </si>
  <si>
    <t>English PC uploaded before test change: true; after Return-without-saving and reopening: true</t>
  </si>
  <si>
    <t>QT-A-PB_N01</t>
  </si>
  <si>
    <t>Verify page banner functionality for missing 繁體 PC banner</t>
  </si>
  <si>
    <t>Leave 繁體 PC banner empty, save</t>
  </si>
  <si>
    <t>1. Upload all for 简体 and English
2. On 繁體 upload Mobile only
3. Save changes</t>
  </si>
  <si>
    <t>繁體 PC = none</t>
  </si>
  <si>
    <t>Save is blocked; message indicates 繁體 PC horizontal banner is required</t>
  </si>
  <si>
    <t>Not saved</t>
  </si>
  <si>
    <t>Inline validation message was 'pc images zh-TW is required.', PC banner from before the attempted deletion is still present after reload (proving the save was blocked, not silently accepted): true</t>
  </si>
  <si>
    <t>QT-A-PB_N02</t>
  </si>
  <si>
    <t>Verify page banner functionality for missing 繁體 Mobile banner</t>
  </si>
  <si>
    <t>Leave 繁體 Mobile banner empty, save</t>
  </si>
  <si>
    <t>1. Upload all for 简体 and English
2. On 繁體 upload PC only
3. Save changes</t>
  </si>
  <si>
    <t>繁體 Mobile = none</t>
  </si>
  <si>
    <t>Save is blocked; Inline validation message was 'mobile images zh-TW is required.'</t>
  </si>
  <si>
    <t>Inline validation message was 'mobile images zh-TW is required.', Mobile banner from before the attempted deletion is still present after reload (proving the save was blocked): true</t>
  </si>
  <si>
    <t>QT-A-PB_N03</t>
  </si>
  <si>
    <t>Verify page banner functionality for missing 简体 banners</t>
  </si>
  <si>
    <t>Leave 简体 banners empty, save</t>
  </si>
  <si>
    <t>1. Upload all for 繁體 and English
2. Leave 简体 empty
3. Save changes</t>
  </si>
  <si>
    <t>简体 = none</t>
  </si>
  <si>
    <t>Save is blocked; Inline validation message was 'pc images zh-CN is required.'</t>
  </si>
  <si>
    <t>Inline validation message was 'pc images zh-CN is required.', 简体's banners from before the attempted deletion are still present after reload (proving the save was blocked): true</t>
  </si>
  <si>
    <t>QT-A-PB_N04</t>
  </si>
  <si>
    <t>Verify page banner functionality for missing English banner</t>
  </si>
  <si>
    <t>Leave English Mobile empty, save</t>
  </si>
  <si>
    <t>1. Upload all for 繁體 and 简体
2. On English upload PC only
3. Save changes</t>
  </si>
  <si>
    <t>English Mobile = none</t>
  </si>
  <si>
    <t>Save is blocked; Inline validation message was 'mobile images en is required.'</t>
  </si>
  <si>
    <t>Inline validation message was 'mobile images en is required.', Mobile banner from before the attempted deletion is still present after reload (proving the save was blocked): true</t>
  </si>
  <si>
    <t>QT-A-PB_N05</t>
  </si>
  <si>
    <t>Verify page banner functionality for deleting required banner</t>
  </si>
  <si>
    <t>Delete saved 繁體 PC banner, save</t>
  </si>
  <si>
    <t>1. On 繁體 click Delete image on PC banner
2. Save changes</t>
  </si>
  <si>
    <t>繁體 PC deleted</t>
  </si>
  <si>
    <t>Save is blocked; saved banner remains on client</t>
  </si>
  <si>
    <t>Save blocked: true, message: 'Prompt message</t>
  </si>
  <si>
    <t>QT-A-PB_N06</t>
  </si>
  <si>
    <t>Verify page banner functionality for override on other tabs</t>
  </si>
  <si>
    <t>Open 简体/English tab, check Override hidden</t>
  </si>
  <si>
    <t>1. Open 简体 tab
2. Open English tab</t>
  </si>
  <si>
    <t>Override section is only on 繁體 tab</t>
  </si>
  <si>
    <t>简体 override visible: false, English override visible: false</t>
  </si>
  <si>
    <t>QT-A-PB_N07</t>
  </si>
  <si>
    <t>Verify page banner functionality for non-image upload</t>
  </si>
  <si>
    <t>Upload PDF as PC banner</t>
  </si>
  <si>
    <t>1. Click Upload image on PC banner
2. Select a .pdf file</t>
  </si>
  <si>
    <t>file.pdf</t>
  </si>
  <si>
    <t>Validation dialog shown: true, message: 'Prompt message   Image extensions are only allowed jpg、jpeg、png、gif、svg、webp</t>
  </si>
  <si>
    <t>Currency</t>
  </si>
  <si>
    <t>QT-A-CUR_P01</t>
  </si>
  <si>
    <t>Verify Quick Tour functionality for per-currency content tabs</t>
  </si>
  <si>
    <t>Create tab in HKD, switch currency, check list</t>
  </si>
  <si>
    <t>1. Create tab 'Test HKD' under HKD
2. Switch admin currency to another currency (e.g. THB)
3. Open Quick Tour list</t>
  </si>
  <si>
    <t>HKD vs THB</t>
  </si>
  <si>
    <t>Tab 'Test HKD' only appears in HKD list; THB list shows its own tabs only</t>
  </si>
  <si>
    <t>QT-A-CUR_P02</t>
  </si>
  <si>
    <t>Verify Quick Tour functionality for per-currency page banner</t>
  </si>
  <si>
    <t>Set page banner in HKD, switch currency, check badge and page</t>
  </si>
  <si>
    <t>Admin logged in with Quick Tour Banner permission; currency HKD selected; HKD page banner set, THB not set</t>
  </si>
  <si>
    <t>1. Open list in HKD, check badge
2. Switch to THB, check badge
3. Open Configure page banner in THB</t>
  </si>
  <si>
    <t>HKD set, THB not set</t>
  </si>
  <si>
    <t>HKD shows page banner ready; THB shows not set and empty banner fields</t>
  </si>
  <si>
    <t>HKD ready: true, USDT ready: false, USDT 繁體 PC banner uploaded: false</t>
  </si>
  <si>
    <t>QT-A-CUR_N01</t>
  </si>
  <si>
    <t>Verify Quick Tour functionality for editing one currency only</t>
  </si>
  <si>
    <t>Change tab in THB, check HKD unchanged</t>
  </si>
  <si>
    <t>Admin logged in with Quick Tour Banner permission; currency HKD selected; tab 'About Us' exists in HKD and THB</t>
  </si>
  <si>
    <t>1. In THB modify About Us English title and save
2. Switch to HKD and open About Us</t>
  </si>
  <si>
    <t>THB title changed</t>
  </si>
  <si>
    <t>HKD About Us is unchanged</t>
  </si>
  <si>
    <t>HKD still shows original title 'AutoQT CurEditIsolation 1790818615913': true; HKD shows the USDT edit 'AutoQT CurEditIsolation 1790818615913 USDT-Edited': false</t>
  </si>
  <si>
    <t>Project Name     :</t>
  </si>
  <si>
    <t>ARRAYFORMULA(if(J61:J87&lt;&gt;H62"Pass","FAIL","All Pass"))</t>
  </si>
  <si>
    <t>Module Name    :</t>
  </si>
  <si>
    <t>Wallet log</t>
  </si>
  <si>
    <t>Version                 :</t>
  </si>
  <si>
    <t>V. 3.20.0</t>
  </si>
  <si>
    <t>Created By           :</t>
  </si>
  <si>
    <t>Sengmean</t>
  </si>
  <si>
    <t>Date of Creation:</t>
  </si>
  <si>
    <t>Date of Review  :</t>
  </si>
  <si>
    <t>PRIORITIZE</t>
  </si>
  <si>
    <t>MEMBER PROFILE – PICTURE DISPLAY &amp; STATES (back office)</t>
  </si>
  <si>
    <t>MP-BO-DSP-001</t>
  </si>
  <si>
    <t>Verify Member profile picture functionality for location on Member Personal Information card</t>
  </si>
  <si>
    <t>Open member detail, check Profile picture row position</t>
  </si>
  <si>
    <t>Admin logged in to Back Office (BO).; Member Management &gt; member list accessible.; Member has uploaded a profile picture in client app &gt; Profile.</t>
  </si>
  <si>
    <t>1. Go to Member Management &gt; member list
2. Search member and click to open Member Personal Information Details
3. Check the Member personal information card</t>
  </si>
  <si>
    <t>Account: game81203</t>
  </si>
  <si>
    <t>Profile picture row is the FIRST row of the 'Member personal information' card, above Full name.</t>
  </si>
  <si>
    <t>Detail page stays open</t>
  </si>
  <si>
    <t>MP-BO-DSP-002</t>
  </si>
  <si>
    <t>Verify Member profile picture functionality for avatar size and gold ring style</t>
  </si>
  <si>
    <t>Open member detail, inspect avatar size, ring color, shape</t>
  </si>
  <si>
    <t>1. Open Member Personal Information Details of member
2. Inspect avatar with browser DevTools</t>
  </si>
  <si>
    <t>Avatar is a 96 px circle with a 3 px gold ring (#D4AA3C), matching the client side style.</t>
  </si>
  <si>
    <t>MP-BO-DSP-003</t>
  </si>
  <si>
    <t>Verify Member profile picture functionality for landscape image cropping</t>
  </si>
  <si>
    <t>Member uploads landscape image, admin opens detail, check crop</t>
  </si>
  <si>
    <t>Admin logged in to Back Office (BO).; Member Management &gt; member list accessible.; Member uploaded a landscape (wide) image in client app.</t>
  </si>
  <si>
    <t>1. Open Member Personal Information Details of member
2. Check avatar</t>
  </si>
  <si>
    <t>Image 1200 x 600 px</t>
  </si>
  <si>
    <t>Image is cropped from the center (object-fit: cover); not stretched or squashed; circle fully filled.</t>
  </si>
  <si>
    <t>MP-BO-DSP-004</t>
  </si>
  <si>
    <t>Verify Member profile picture functionality for portrait image cropping</t>
  </si>
  <si>
    <t>Member uploads portrait image, admin opens detail, check crop</t>
  </si>
  <si>
    <t>Admin logged in to Back Office (BO).; Member Management &gt; member list accessible.; Member uploaded a portrait (tall) image in client app.</t>
  </si>
  <si>
    <t>Image 600 x 1200 px</t>
  </si>
  <si>
    <t>Image is cropped from the center (cover); not stretched; circle fully filled.</t>
  </si>
  <si>
    <t>MP-BO-DSP-005</t>
  </si>
  <si>
    <t>Verify Member profile picture functionality for account info and view-only hint beside avatar</t>
  </si>
  <si>
    <t>Open member detail, check username, VIP badge, view-only text, enlarge link</t>
  </si>
  <si>
    <t>1. Open Member Personal Information Details of member
2. Check the text to the right of the avatar</t>
  </si>
  <si>
    <t>Account: game81203 (VIP 1)</t>
  </si>
  <si>
    <t>Shows: account name 'game81203' + VIP badge 'VIP 1'; lock icon + 'View only — profile picture is set by the member in the client app'; 'Last updated by member: &lt;timestamp&gt;'; link 'Click picture to enlarge'.</t>
  </si>
  <si>
    <t>MP-BO-DSP-006</t>
  </si>
  <si>
    <t>Verify Member profile picture functionality for 'Last updated by member' timestamp</t>
  </si>
  <si>
    <t>Member changes picture at known time, admin checks timestamp</t>
  </si>
  <si>
    <t>1. Note the time and change picture in client app &gt; Profile
2. Admin opens/refreshes the member detail page
3. Check 'Last updated by member' under the name</t>
  </si>
  <si>
    <t>Change time: e.g. 2026-10-07 15:24:45</t>
  </si>
  <si>
    <t>Timestamp equals the time the member last updated the picture, format YYYY-MM-DD HH:mm:ss, in the BO timezone.</t>
  </si>
  <si>
    <t>MP-BO-DSP-007</t>
  </si>
  <si>
    <t>Verify Member profile picture functionality for display state 1 - member uploaded a picture</t>
  </si>
  <si>
    <t>Open member with picture, compare with client app</t>
  </si>
  <si>
    <t>1. Open client app &gt; Profile and note the picture
2. Open the same member in BO
3. Compare both pictures</t>
  </si>
  <si>
    <t>BO shows the same picture as the client app; magnifier (enlarge) badge shown on the avatar; avatar is clickable.</t>
  </si>
  <si>
    <t>MP-BO-DSP-008</t>
  </si>
  <si>
    <t>Verify Member profile picture functionality for display state 2 - no picture uploaded</t>
  </si>
  <si>
    <t>Open member without picture, check default avatar, try click</t>
  </si>
  <si>
    <t>Admin logged in to Back Office (BO).; Member Management &gt; member list accessible.; Member has never uploaded a profile picture.</t>
  </si>
  <si>
    <t>1. Open Member Personal Information Details of member
2. Check avatar
3. Click the avatar</t>
  </si>
  <si>
    <t>Account: new member with no picture</t>
  </si>
  <si>
    <t>System default avatar (grey person icon in gold ring) is shown; NO enlarge badge; clicking does nothing (no modal).</t>
  </si>
  <si>
    <t>MP-BO-DSP-009</t>
  </si>
  <si>
    <t>Verify Member profile picture functionality for 'Click picture to enlarge' link when no picture</t>
  </si>
  <si>
    <t>Open member without picture, check link, click it</t>
  </si>
  <si>
    <t>1. Open Member Personal Information Details of member
2. Check whether 'Click picture to enlarge' link is shown
3. If shown, click it</t>
  </si>
  <si>
    <t>Nothing to enlarge: link hidden or click does nothing - no modal opens. (See Open Question OQ-01.)</t>
  </si>
  <si>
    <t>MP-BO-DSP-010</t>
  </si>
  <si>
    <t>Verify Member profile picture functionality for display state 3 - image fails to load</t>
  </si>
  <si>
    <t>Break image URL, open detail, hover avatar, check layout</t>
  </si>
  <si>
    <t>Admin logged in to Back Office (BO).; Member Management &gt; member list accessible.; Member has uploaded a profile picture in client app &gt; Profile.; Image URL is broken (file deleted on storage / blocked via DevTools request blocking).</t>
  </si>
  <si>
    <t>1. Block the image URL in DevTools (Network &gt; Block request URL)
2. Open/refresh member detail page
3. Hover the avatar
4. Check layout of the card</t>
  </si>
  <si>
    <t>Broken image URL</t>
  </si>
  <si>
    <t>Default avatar is shown with tooltip 'Picture unavailable'; no broken-image icon; card layout not broken (Full name and other rows keep their position).</t>
  </si>
  <si>
    <t>Unblock the URL</t>
  </si>
  <si>
    <t>MP-BO-DSP-011</t>
  </si>
  <si>
    <t>Verify Member profile picture functionality for display state 4 - loading</t>
  </si>
  <si>
    <t>Throttle network, open detail, observe avatar while loading</t>
  </si>
  <si>
    <t>1. Set DevTools network throttling to Slow 3G
2. Open/refresh member detail page
3. Observe the avatar before the image finishes loading</t>
  </si>
  <si>
    <t>Network: Slow 3G</t>
  </si>
  <si>
    <t>Grey circle placeholder is shown while loading, then replaced by the picture; no layout jump.</t>
  </si>
  <si>
    <t>Reset throttling</t>
  </si>
  <si>
    <t>MEMBER PROFILE – SYNC WITH CLIENT APP</t>
  </si>
  <si>
    <t>MP-BO-SYN-001</t>
  </si>
  <si>
    <t>Verify Member profile picture functionality for sync when member uploads first picture</t>
  </si>
  <si>
    <t>Member with no picture uploads one, admin refreshes</t>
  </si>
  <si>
    <t>Admin logged in to Back Office (BO).; Member Management &gt; member list accessible.; Member has no picture.</t>
  </si>
  <si>
    <t>1. Admin opens member detail (default avatar shown)
2. Member uploads a picture in client app &gt; Profile
3. Admin refreshes the member detail page</t>
  </si>
  <si>
    <t>Account: test member; image: avatar.png</t>
  </si>
  <si>
    <t>After refresh the new picture is shown, enlarge badge appears, 'Last updated by member' shows the upload time.</t>
  </si>
  <si>
    <t>MP-BO-SYN-002</t>
  </si>
  <si>
    <t>Verify Member profile picture functionality for sync when member changes picture while admin page is open</t>
  </si>
  <si>
    <t>Admin opens detail, member changes picture, check before and after refresh</t>
  </si>
  <si>
    <t>1. Admin opens member detail and keeps it open
2. Member changes picture in client app
3. Without refresh, check BO avatar
4. Refresh BO page and check again</t>
  </si>
  <si>
    <t>Old: pic_A.png, 
New: pic_B.png</t>
  </si>
  <si>
    <t>Before refresh: old picture still shown (sync on page load/refresh only). After refresh: new picture and new timestamp shown; 
no cached old image.</t>
  </si>
  <si>
    <t>MP-BO-SYN-003</t>
  </si>
  <si>
    <t>Verify Member profile picture functionality for sync when member removes picture</t>
  </si>
  <si>
    <t>Member removes picture in client app, admin refreshes</t>
  </si>
  <si>
    <t>Admin logged in to Back Office (BO).; Member Management &gt; member list accessible.; Member has uploaded a profile picture in client app &gt; Profile.; Client app allows removing the picture.</t>
  </si>
  <si>
    <t>1. Member removes profile picture in client app
2. Admin refreshes member detail page</t>
  </si>
  <si>
    <t>Default avatar shown, no enlarge badge, avatar not clickable (state 2).</t>
  </si>
  <si>
    <t>MP-BO-SYN-004</t>
  </si>
  <si>
    <t>Verify Member profile picture functionality for correct picture per member</t>
  </si>
  <si>
    <t>Open several members one by one, compare each with client</t>
  </si>
  <si>
    <t>Admin logged in to Back Office (BO).; Member Management &gt; member list accessible.; Member A and Member B have different pictures; Member C has none.</t>
  </si>
  <si>
    <t>1. Open Member A detail
2. Return and open Member B detail
3. Return and open Member C detail</t>
  </si>
  <si>
    <t>Members A, B, C</t>
  </si>
  <si>
    <t>Each member shows only their own picture (or default avatar for C); 
no picture from the previous member is reused/cached.</t>
  </si>
  <si>
    <t>MEMBER PROFILE – ENLARGED PREVIEW MODAL</t>
  </si>
  <si>
    <t>MP-BO-PRV-001</t>
  </si>
  <si>
    <t>Verify Member profile picture functionality for opening preview by clicking the avatar</t>
  </si>
  <si>
    <t>Open detail, click avatar</t>
  </si>
  <si>
    <t>1. Open member detail
2. Click the avatar</t>
  </si>
  <si>
    <t>Modal 'Profile picture — game81203' opens with enlarged picture; 
background is dimmed by an overlay.</t>
  </si>
  <si>
    <t>Close modal</t>
  </si>
  <si>
    <t>MP-BO-PRV-002</t>
  </si>
  <si>
    <t>Verify Member profile picture functionality for opening preview by clicking 'Click picture to enlarge'</t>
  </si>
  <si>
    <t>Open detail, click link</t>
  </si>
  <si>
    <t>1. Open member detail
2. Click 'Click picture to enlarge'</t>
  </si>
  <si>
    <t>Same preview modal opens.</t>
  </si>
  <si>
    <t>MP-BO-PRV-003</t>
  </si>
  <si>
    <t>Verify Member profile picture functionality for opening preview by clicking the magnifier badge</t>
  </si>
  <si>
    <t>Open detail, click magnifier badge</t>
  </si>
  <si>
    <t>1. Open member detail
2. Click the magnifier badge at the bottom-right of the avatar</t>
  </si>
  <si>
    <t>MP-BO-PRV-004</t>
  </si>
  <si>
    <t>Verify Member profile picture functionality for preview modal content</t>
  </si>
  <si>
    <t>Open preview, check title, image, info, note, Close button</t>
  </si>
  <si>
    <t>1. Open preview modal
2. Check every element of the modal</t>
  </si>
  <si>
    <t>Title 'Profile picture — game81203' + X icon; 
enlarged picture; 'Account: game81203 · VIP 1'; 
'Last updated by member: &lt;timestamp&gt;'; 
note 'View only — admins cannot upload, change, delete or download the member's picture.'; 
'Close' button.</t>
  </si>
  <si>
    <t>MP-BO-PRV-005</t>
  </si>
  <si>
    <t>Verify Member profile picture functionality for preview max size 480 x 480</t>
  </si>
  <si>
    <t>Member uploads large image, open preview, measure</t>
  </si>
  <si>
    <t>Admin logged in to Back Office (BO).; Member Management &gt; member list accessible.; Member uploaded a large picture.</t>
  </si>
  <si>
    <t>1. Open preview modal
2. Measure the preview image with DevTools</t>
  </si>
  <si>
    <t>Image 2000 x 2000 px; 3000 x 1500 px</t>
  </si>
  <si>
    <t>Preview never exceeds 480 x 480 px; aspect ratio kept; not distorted.</t>
  </si>
  <si>
    <t>MP-BO-PRV-006</t>
  </si>
  <si>
    <t>Verify Member profile picture functionality for closing preview via X icon</t>
  </si>
  <si>
    <t>Open preview, click X</t>
  </si>
  <si>
    <t>1. Open preview modal
2. Click X at top-right</t>
  </si>
  <si>
    <t>Modal closes; 
detail page unchanged and still usable.</t>
  </si>
  <si>
    <t>MP-BO-PRV-007</t>
  </si>
  <si>
    <t>Verify Member profile picture functionality for closing preview via Close button</t>
  </si>
  <si>
    <t>Open preview, click Close</t>
  </si>
  <si>
    <t>1. Open preview modal
2. Click 'Close'</t>
  </si>
  <si>
    <t>Modal closes; 
detail page unchanged.</t>
  </si>
  <si>
    <t>MP-BO-PRV-008</t>
  </si>
  <si>
    <t>Verify Member profile picture functionality for closing preview via Esc key</t>
  </si>
  <si>
    <t>Open preview, press Esc</t>
  </si>
  <si>
    <t>1. Open preview modal
2. Press Esc</t>
  </si>
  <si>
    <t>Modal closes.</t>
  </si>
  <si>
    <t>MP-BO-PRV-009</t>
  </si>
  <si>
    <t>Verify Member profile picture functionality for closing preview by clicking the overlay</t>
  </si>
  <si>
    <t>Open preview, click outside modal</t>
  </si>
  <si>
    <t>1. Open preview modal
2. Click the dark overlay outside the modal</t>
  </si>
  <si>
    <t>MP-BO-PRV-010</t>
  </si>
  <si>
    <t>Verify Member profile picture functionality for clicking inside the preview modal</t>
  </si>
  <si>
    <t>Open preview, click image and text inside modal</t>
  </si>
  <si>
    <t>1. Open preview modal
2. Click on the image
3. Click on the text area</t>
  </si>
  <si>
    <t>Modal stays open; 
nothing else happens (no download, no new tab).</t>
  </si>
  <si>
    <t>MP-BO-PRV-011</t>
  </si>
  <si>
    <t>Verify Member profile picture functionality for re-opening preview several times</t>
  </si>
  <si>
    <t>Open and close preview repeatedly with different close methods</t>
  </si>
  <si>
    <t>1. Open preview, close with X
2. Open again, close with Esc
3. Open again, close with overlay
4. Open again, close with Close</t>
  </si>
  <si>
    <t>Modal opens and closes correctly every time; 
no duplicated overlays or console errors.</t>
  </si>
  <si>
    <t>MEMBER PROFILE – VIEW-ONLY PERMISSION</t>
  </si>
  <si>
    <t>MP-BO-PER-001</t>
  </si>
  <si>
    <t>Verify Member profile picture functionality for view-only - no edit controls</t>
  </si>
  <si>
    <t>Check detail page and modal for upload/edit/delete/download controls</t>
  </si>
  <si>
    <t>1. Open member detail
2. Check Profile picture row (hover, right side)
3. Open preview modal and check all controls</t>
  </si>
  <si>
    <t>No Upload, Edit, Replace, Delete, Remove or Download button/icon on the page or in the modal.</t>
  </si>
  <si>
    <t>MP-BO-PER-002</t>
  </si>
  <si>
    <t>Verify Member profile picture functionality for view-only across all admin roles</t>
  </si>
  <si>
    <t>Login with each admin role, open member detail, check controls</t>
  </si>
  <si>
    <t>Admin accounts exist for every BO role (e.g. Super admin, Admin, CS, Finance).</t>
  </si>
  <si>
    <t>1. Login with role 1 and open member detail + preview
2. Repeat for every admin role</t>
  </si>
  <si>
    <t>All BO admin roles (see OQ-08)</t>
  </si>
  <si>
    <t>For every role: picture is view-only; 
no upload/edit/delete/download controls are shown.</t>
  </si>
  <si>
    <t>Logout</t>
  </si>
  <si>
    <t>MP-BO-PER-003</t>
  </si>
  <si>
    <t>Verify Member profile picture functionality for 'Save account details' not changing the picture</t>
  </si>
  <si>
    <t>Edit other member fields, Save account details, check picture</t>
  </si>
  <si>
    <t>1. Open member detail
2. Change Full name / Gender / Remark
3. Click 'Save account details'
4. Refresh page; check BO and client app picture</t>
  </si>
  <si>
    <t>Full name: Test QA; Remark: QA test</t>
  </si>
  <si>
    <t>Other fields are saved; profile picture and 'Last updated by member' timestamp are unchanged in BO and client app.</t>
  </si>
  <si>
    <t>Revert test data</t>
  </si>
  <si>
    <t>MP-BO-PER-004</t>
  </si>
  <si>
    <t>Verify Member profile picture functionality for 'Save account details' with no field changes</t>
  </si>
  <si>
    <t>Open detail, click Save without changes, check picture</t>
  </si>
  <si>
    <t>1. Open member detail
2. Click 'Save account details' without changing anything
3. Refresh and check picture</t>
  </si>
  <si>
    <t>Picture and timestamp unchanged.</t>
  </si>
  <si>
    <t>MP-BO-PER-005</t>
  </si>
  <si>
    <t>Verify Member profile picture functionality for server-side view-only protection</t>
  </si>
  <si>
    <t>Try to change picture through BO API request</t>
  </si>
  <si>
    <t>Admin logged in to Back Office (BO).; Member Management &gt; member list accessible.; Member has uploaded a profile picture in client app &gt; Profile.; API tool (DevTools / Postman) available.</t>
  </si>
  <si>
    <t>1. Capture the 'Save account details' request
2. Add/modify a profile picture field and resend
3. Refresh member detail and client app</t>
  </si>
  <si>
    <t>Modified request payload with avatar field</t>
  </si>
  <si>
    <t>Server ignores or rejects the picture field; 
picture unchanged in BO and client. (See OQ-07.)</t>
  </si>
  <si>
    <t>MP-BO-PER-006</t>
  </si>
  <si>
    <t>Verify Member profile picture functionality for BO language switch</t>
  </si>
  <si>
    <t>Switch BO language, check picture labels and modal text</t>
  </si>
  <si>
    <t>1. Open member detail
2. Switch BO language (top bar) to each supported language
3. Check labels and open the preview modal</t>
  </si>
  <si>
    <t>Languages: English, 中文</t>
  </si>
  <si>
    <t>Profile picture label, view-only hint, 'Last updated by member', link, tooltip and modal texts are translated; layout not broken.</t>
  </si>
  <si>
    <t>Switch back to English</t>
  </si>
  <si>
    <t>ADMIN – PRODUCT LOGO PAGE &amp; LANGUAGE TABS</t>
  </si>
  <si>
    <t>PL-ADM-SET-001</t>
  </si>
  <si>
    <t>Verify Product Logo functionality for new submenu position</t>
  </si>
  <si>
    <t>Expand Web content management, check Product Logo submenu</t>
  </si>
  <si>
    <t>Admin logged in to BO with access to Web content management &gt; Product Logo.</t>
  </si>
  <si>
    <t>1. Click 'Web content management' in the left menu
2. Check the submenu list</t>
  </si>
  <si>
    <t>New submenu 'Product Logo' is shown directly after 'Quick Tour Banner'.</t>
  </si>
  <si>
    <t>PL-ADM-SET-002</t>
  </si>
  <si>
    <t>Verify Product Logo functionality for page layout</t>
  </si>
  <si>
    <t>Open Product Logo, check title, breadcrumb, single page</t>
  </si>
  <si>
    <t>1. Click 'Product Logo'
2. Check page header, breadcrumb and content</t>
  </si>
  <si>
    <t>Page title 'Product Logo'; breadcrumb 'Home Page &gt; Web Content Management System &gt; Product Logo'; single setup page (no list, no popup); 'Save changes' button at the bottom.</t>
  </si>
  <si>
    <t>PL-ADM-SET-003</t>
  </si>
  <si>
    <t>Verify Product Logo functionality for default language tab</t>
  </si>
  <si>
    <t>Open Product Logo, check selected tab</t>
  </si>
  <si>
    <t>1. Open Product Logo page</t>
  </si>
  <si>
    <t>Tab '繁體' is selected by default and header shows 'Logo setup: 繁體'.</t>
  </si>
  <si>
    <t>PL-ADM-SET-004</t>
  </si>
  <si>
    <t>Verify Product Logo functionality for 12 language tabs</t>
  </si>
  <si>
    <t>Open page, check tab list and order</t>
  </si>
  <si>
    <t>1. Open Product Logo page
2. Check the language tabs</t>
  </si>
  <si>
    <t>Exactly 12 tabs shown in that order; all clickable.</t>
  </si>
  <si>
    <t>PL-ADM-SET-005</t>
  </si>
  <si>
    <t>Verify Product Logo functionality for initial logo value</t>
  </si>
  <si>
    <t>Open each tab before any change, compare with live website</t>
  </si>
  <si>
    <t>Admin logged in to BO with access to Web content management &gt; Product Logo.; No logo has been changed yet (fresh environment).</t>
  </si>
  <si>
    <t>1. Open Product Logo page
2. Click each of the 12 tabs
3. Compare with the logo on the website in each language</t>
  </si>
  <si>
    <t>Each tab shows the current website logo as the starting value with 'Current logo: &lt;file name&gt;' and size/type info (e.g. 365 x 110 px · PNG · used in top and bottom navbar).</t>
  </si>
  <si>
    <t>PL-ADM-SET-006</t>
  </si>
  <si>
    <t>Verify Product Logo functionality for switching language tabs</t>
  </si>
  <si>
    <t>Click different tabs, check header and logo</t>
  </si>
  <si>
    <t>Admin logged in to BO with access to Web content management &gt; Product Logo.; English has a different logo from 繁體.</t>
  </si>
  <si>
    <t>1. Click 'English' tab
2. Click '繁體' tab</t>
  </si>
  <si>
    <t>Header changes to 'Logo setup: English' / 'Logo setup: 繁體'; each tab shows its own saved logo; active tab is highlighted.</t>
  </si>
  <si>
    <t>PL-ADM-SET-007</t>
  </si>
  <si>
    <t>Verify Product Logo functionality for languages configured counter</t>
  </si>
  <si>
    <t>Open page, check 'x/12 languages configured'</t>
  </si>
  <si>
    <t>1. Open Product Logo page
2. Check counter at top-right of 'Logo setup'</t>
  </si>
  <si>
    <t>Shows '12/12 languages configured'. (See OQ-16.)</t>
  </si>
  <si>
    <t>PL-ADM-SET-008</t>
  </si>
  <si>
    <t>Verify Product Logo functionality for logo rule and no delete action</t>
  </si>
  <si>
    <t>Open page, check caution box and buttons</t>
  </si>
  <si>
    <t>1. Open Product Logo page
2. Check the 'Logo rule' box and available actions</t>
  </si>
  <si>
    <t>Caution box: 'A logo is required for every language and cannot be removed — it can only be replaced. One upload updates both the top navbar and bottom navbar.' Only 'Replace logo' and 'Save changes' exist - no Delete or Reset to default.</t>
  </si>
  <si>
    <t>PL-ADM-SET-009</t>
  </si>
  <si>
    <t>Verify Product Logo functionality for required field marker and file hint</t>
  </si>
  <si>
    <t>Open page, check label and hint</t>
  </si>
  <si>
    <t>1. Open Product Logo page
2. Check the Product logo label and hint text</t>
  </si>
  <si>
    <t>Label 'Product logo * (top navbar and bottom navbar)'; hint 'PNG, SVG or WebP · transparent background · max 1 MB · recommended 365 x 110 px.'</t>
  </si>
  <si>
    <t>ADMIN – PRODUCT LOGO UPLOAD VALIDATION</t>
  </si>
  <si>
    <t>PL-ADM-UPL-001</t>
  </si>
  <si>
    <t>Verify Product Logo functionality for uploading a valid PNG</t>
  </si>
  <si>
    <t>Click Replace logo, choose valid PNG, check preview</t>
  </si>
  <si>
    <t>1. Select tab 'English'
2. Click 'Replace logo'
3. Choose the file</t>
  </si>
  <si>
    <t>logo_365x110.png (transparent, 80 KB)</t>
  </si>
  <si>
    <t>File accepted; preview and 'Current logo' info update to the new file (not yet live until Save).</t>
  </si>
  <si>
    <t>PL-ADM-UPL-002</t>
  </si>
  <si>
    <t>Verify Product Logo functionality for uploading a valid SVG</t>
  </si>
  <si>
    <t>Click Replace logo, choose SVG</t>
  </si>
  <si>
    <t>1. Click 'Replace logo'
2. Choose the SVG file</t>
  </si>
  <si>
    <t>logo.svg (20 KB)</t>
  </si>
  <si>
    <t>File accepted; preview renders correctly.</t>
  </si>
  <si>
    <t>PL-ADM-UPL-003</t>
  </si>
  <si>
    <t>Verify Product Logo functionality for uploading a valid WEBP</t>
  </si>
  <si>
    <t>Click Replace logo, choose WEBP</t>
  </si>
  <si>
    <t>1. Click 'Replace logo'
2. Choose the WEBP file</t>
  </si>
  <si>
    <t>logo.webp (transparent, 50 KB)</t>
  </si>
  <si>
    <t>PL-ADM-UPL-004</t>
  </si>
  <si>
    <t>Verify Product Logo functionality for uppercase file extension</t>
  </si>
  <si>
    <t>Click Replace logo, choose file with uppercase extension</t>
  </si>
  <si>
    <t>1. Click 'Replace logo'
2. Choose the file</t>
  </si>
  <si>
    <t>LOGO.PNG / LOGO.WEBP</t>
  </si>
  <si>
    <t>File accepted the same as lowercase extension.</t>
  </si>
  <si>
    <t>PL-ADM-UPL-005</t>
  </si>
  <si>
    <t>Verify Product Logo functionality for unsupported file types</t>
  </si>
  <si>
    <t>Click Replace logo, choose each invalid type</t>
  </si>
  <si>
    <t>1. Click 'Replace logo'
2. Choose an unsupported file
3. Repeat for each file type</t>
  </si>
  <si>
    <t>logo.jpg, logo.jpeg, logo.gif, logo.bmp, logo.pdf, logo.txt</t>
  </si>
  <si>
    <t>File rejected with a clear error message (only PNG, SVG or WebP allowed); current logo unchanged.</t>
  </si>
  <si>
    <t>PL-ADM-UPL-006</t>
  </si>
  <si>
    <t>Verify Product Logo functionality for file size at max 1 MB</t>
  </si>
  <si>
    <t>Upload file exactly 1 MB</t>
  </si>
  <si>
    <t>1. Click 'Replace logo'
2. Choose the file
3. Click 'Save changes'</t>
  </si>
  <si>
    <t>logo_1MB.png (exactly 1,048,576 bytes)</t>
  </si>
  <si>
    <t>File accepted and saved.</t>
  </si>
  <si>
    <t>PL-ADM-UPL-007</t>
  </si>
  <si>
    <t>Verify Product Logo functionality for file size over 1 MB</t>
  </si>
  <si>
    <t>Upload file just over 1 MB</t>
  </si>
  <si>
    <t>logo_1.01MB.png (1,058,000 bytes); logo_5MB.png</t>
  </si>
  <si>
    <t>File rejected with error message about the 1 MB limit; current logo unchanged.</t>
  </si>
  <si>
    <t>PL-ADM-UPL-008</t>
  </si>
  <si>
    <t>Verify Product Logo functionality for non-recommended dimensions</t>
  </si>
  <si>
    <t>Upload logo with different size than 365 x 110</t>
  </si>
  <si>
    <t>1. Click 'Replace logo'
2. Choose the file
3. Save and check website</t>
  </si>
  <si>
    <t>logo_1000x1000.png; logo_100x30.png</t>
  </si>
  <si>
    <t>Behaviour follows confirmed rule (accept + scale to fit navbar without distortion / warning / reject). (See OQ-10.)</t>
  </si>
  <si>
    <t>PL-ADM-UPL-009</t>
  </si>
  <si>
    <t>Verify Product Logo functionality for non-transparent background</t>
  </si>
  <si>
    <t>Upload PNG with solid background</t>
  </si>
  <si>
    <t>logo_white_bg.png</t>
  </si>
  <si>
    <t>Behaviour follows confirmed rule (accept as guideline / reject). (See OQ-11.)</t>
  </si>
  <si>
    <t>PL-ADM-UPL-010</t>
  </si>
  <si>
    <t>Verify Product Logo functionality for fake or corrupted image file</t>
  </si>
  <si>
    <t>Upload renamed or corrupted file</t>
  </si>
  <si>
    <t>virus.exe renamed to logo.png; corrupted.png (0 KB / truncated)</t>
  </si>
  <si>
    <t>File rejected (content type checked, not only extension); current logo unchanged.</t>
  </si>
  <si>
    <t>PL-ADM-UPL-011</t>
  </si>
  <si>
    <t>Verify Product Logo functionality for SVG containing script</t>
  </si>
  <si>
    <t>Upload SVG with embedded JavaScript, save, open website</t>
  </si>
  <si>
    <t>1. Upload the malicious SVG
2. Click 'Save changes'
3. Open website and BO page</t>
  </si>
  <si>
    <t>logo_xss.svg containing &lt;script&gt;alert(1)&lt;/script&gt; / onload=alert(1)</t>
  </si>
  <si>
    <t>SVG is rejected or sanitized; no script executes on the website or BO.</t>
  </si>
  <si>
    <t>Restore original logo</t>
  </si>
  <si>
    <t>PL-ADM-UPL-012</t>
  </si>
  <si>
    <t>Verify Product Logo functionality for cancelling the file picker</t>
  </si>
  <si>
    <t>Click Replace logo, cancel picker</t>
  </si>
  <si>
    <t>1. Click 'Replace logo'
2. Close/cancel the file picker</t>
  </si>
  <si>
    <t>Nothing changes; current logo stays.</t>
  </si>
  <si>
    <t>ADMIN – SAVE, OVERRIDE LANGUAGES &amp; PERMISSION</t>
  </si>
  <si>
    <t>PL-ADM-SAV-001</t>
  </si>
  <si>
    <t>Verify Product Logo functionality for replacing logo several times before saving</t>
  </si>
  <si>
    <t>Replace with file A then file B, save</t>
  </si>
  <si>
    <t>1. Replace logo with file A
2. Replace logo again with file B
3. Click 'Save changes'
4. Refresh page</t>
  </si>
  <si>
    <t>A: logo_a.png, B: logo_b.png</t>
  </si>
  <si>
    <t>Only the last chosen file (B) is saved and shown.</t>
  </si>
  <si>
    <t>PL-ADM-SAV-002</t>
  </si>
  <si>
    <t>Verify Product Logo functionality for saving the current language only</t>
  </si>
  <si>
    <t>Replace logo on English, no override, save</t>
  </si>
  <si>
    <t>1. Select 'English' tab
2. Replace logo
3. Do not tick any override language
4. Click 'Save changes'
5. Check other tabs</t>
  </si>
  <si>
    <t>logo_en.png</t>
  </si>
  <si>
    <t>Success message shown; English tab shows new logo; all other 11 languages keep their previous logo.</t>
  </si>
  <si>
    <t>PL-ADM-SAV-003</t>
  </si>
  <si>
    <t>Verify Product Logo functionality for saving data persistence</t>
  </si>
  <si>
    <t>Save new logo, refresh, logout/login</t>
  </si>
  <si>
    <t>1. Replace logo and click 'Save changes'
2. Refresh the page
3. Logout, login again and open Product Logo</t>
  </si>
  <si>
    <t>New logo and file name are still shown after refresh and re-login.</t>
  </si>
  <si>
    <t>PL-ADM-SAV-004</t>
  </si>
  <si>
    <t>Verify Product Logo functionality for saving without changes</t>
  </si>
  <si>
    <t>Open page, click Save changes without any change</t>
  </si>
  <si>
    <t>1. Open Product Logo page
2. Click 'Save changes'</t>
  </si>
  <si>
    <t>No logo is changed (button disabled or success with no change). (See OQ-14.)</t>
  </si>
  <si>
    <t>PL-ADM-SAV-005</t>
  </si>
  <si>
    <t>Verify Product Logo functionality for unsaved change when switching tab or leaving page</t>
  </si>
  <si>
    <t>Replace logo, switch tab or menu before saving</t>
  </si>
  <si>
    <t>1. Replace logo on 'English' (do not save)
2. Click 'Spain' tab, then back to 'English'
3. Replace again and click another menu</t>
  </si>
  <si>
    <t>Follows confirmed rule (warning prompt / change kept per tab / change discarded); unsaved logo is never published. (See OQ-13.)</t>
  </si>
  <si>
    <t>PL-ADM-SAV-006</t>
  </si>
  <si>
    <t>Verify Product Logo functionality for override language list</t>
  </si>
  <si>
    <t>Open each tab, check override checkboxes</t>
  </si>
  <si>
    <t>1. Open '繁體' tab, check 'Override above contents to:'
2. Open 'English' tab and check again</t>
  </si>
  <si>
    <t>List shows 'All languages' + the other 11 languages; the current tab language is NOT listed; all unticked by default.</t>
  </si>
  <si>
    <t>PL-ADM-SAV-007</t>
  </si>
  <si>
    <t>Verify Product Logo functionality for override to one language</t>
  </si>
  <si>
    <t>Replace logo on 繁體, tick English, save</t>
  </si>
  <si>
    <t>1. Select '繁體' tab
2. Replace logo
3. Tick 'English'
4. Click 'Save changes'
5. Check 繁體, English and other tabs</t>
  </si>
  <si>
    <t>logo_tc.png</t>
  </si>
  <si>
    <t>繁體 and English show the new logo; other 10 languages unchanged.</t>
  </si>
  <si>
    <t>PL-ADM-SAV-008</t>
  </si>
  <si>
    <t>Verify Product Logo functionality for override to multiple languages</t>
  </si>
  <si>
    <t>Replace logo, tick several languages, save</t>
  </si>
  <si>
    <t>1. Select '繁體' tab
2. Replace logo
3. Tick 简体, 日本語, Vietnam
4. Click 'Save changes'</t>
  </si>
  <si>
    <t>繁體, 简体, 日本語, Vietnam show the new logo; the other 8 languages unchanged.</t>
  </si>
  <si>
    <t>PL-ADM-SAV-009</t>
  </si>
  <si>
    <t>Verify Product Logo functionality for override to All languages</t>
  </si>
  <si>
    <t>Replace logo, tick All languages, save</t>
  </si>
  <si>
    <t>1. Select '繁體' tab
2. Replace logo
3. Tick 'All languages'
4. Click 'Save changes'
5. Check all 12 tabs</t>
  </si>
  <si>
    <t>logo_all.png</t>
  </si>
  <si>
    <t>All 12 languages show the new logo.</t>
  </si>
  <si>
    <t>PL-ADM-SAV-010</t>
  </si>
  <si>
    <t>Verify Product Logo functionality for All languages checkbox behaviour</t>
  </si>
  <si>
    <t>Tick/untick All languages and single languages</t>
  </si>
  <si>
    <t>1. Tick 'All languages'
2. Untick 'All languages'
3. Tick all 11 languages one by one
4. Untick one language</t>
  </si>
  <si>
    <t>Tick All = all 11 ticked; 
untick All = all unticked; 
all 11 ticked manually = All auto-ticked; 
untick one = All unticked.</t>
  </si>
  <si>
    <t>PL-ADM-SAV-011</t>
  </si>
  <si>
    <t>Verify Product Logo functionality for override replacing a customised logo</t>
  </si>
  <si>
    <t>Language with own custom logo gets overridden</t>
  </si>
  <si>
    <t>Admin logged in to BO with access to Web content management &gt; Product Logo.; Spain already has its own custom logo.</t>
  </si>
  <si>
    <t>1. Select 'English' tab
2. Tick 'Spain'
3. Click 'Save changes'
4. Check 'Spain' tab</t>
  </si>
  <si>
    <t>Spain: logo_es.png; English: logo_en.png</t>
  </si>
  <si>
    <t>Spain's custom logo is replaced by the English logo (what is there is replaced).</t>
  </si>
  <si>
    <t>PL-ADM-SAV-012</t>
  </si>
  <si>
    <t>Verify Product Logo functionality for override without replacing the current logo</t>
  </si>
  <si>
    <t>Do not upload, tick other language, save</t>
  </si>
  <si>
    <t>1. Select 'English' tab (no new upload)
2. Tick 'Malaysia'
3. Click 'Save changes'</t>
  </si>
  <si>
    <t>Current English logo is copied to Malaysia.</t>
  </si>
  <si>
    <t>PL-ADM-SAV-013</t>
  </si>
  <si>
    <t>Verify Product Logo functionality for override from a non-default tab</t>
  </si>
  <si>
    <t>Override from Portuguese to 繁體</t>
  </si>
  <si>
    <t>1. Select 'Portuguese' tab
2. Replace logo
3. Tick '繁體'
4. Click 'Save changes'</t>
  </si>
  <si>
    <t>logo_pt.png</t>
  </si>
  <si>
    <t>Portuguese and 繁體 show the new logo; others unchanged.</t>
  </si>
  <si>
    <t>PL-ADM-SAV-014</t>
  </si>
  <si>
    <t>Verify Product Logo functionality for override checkbox state after save</t>
  </si>
  <si>
    <t>Tick languages, save, check checkboxes</t>
  </si>
  <si>
    <t>1. Tick some override languages and save
2. Check checkboxes after save
3. Switch tab and check again</t>
  </si>
  <si>
    <t>Checkboxes reset to unticked after save / tab switch. (See OQ-15.)</t>
  </si>
  <si>
    <t>PL-ADM-SAV-015</t>
  </si>
  <si>
    <t>Verify Product Logo functionality for menu permission</t>
  </si>
  <si>
    <t>Login with admin role without permission, check menu and direct URL</t>
  </si>
  <si>
    <t>Admin role without Product Logo permission exists.</t>
  </si>
  <si>
    <t>1. Login with that admin
2. Check Web content management submenu
3. Open Product Logo URL directly</t>
  </si>
  <si>
    <t>Menu hidden and direct URL blocked (no access / redirect). (See OQ-17.)</t>
  </si>
  <si>
    <t>CLIENT – WEBSITE TOP &amp; BOTTOM NAVBAR LOGO</t>
  </si>
  <si>
    <t>PL-CLI-NAV-001</t>
  </si>
  <si>
    <t>Verify Product Logo functionality for top navbar logo position</t>
  </si>
  <si>
    <t>Open website, check top navbar left logo</t>
  </si>
  <si>
    <t>Admin has access to BO &gt; Product Logo.; Client website opened in browser (PC).</t>
  </si>
  <si>
    <t>1. Open the website home page
2. Check the top navbar</t>
  </si>
  <si>
    <t>Site language: 繁體</t>
  </si>
  <si>
    <t>Product logo is shown on the LEFT of the top navbar and matches BO tab '繁體'.</t>
  </si>
  <si>
    <t>PL-CLI-NAV-002</t>
  </si>
  <si>
    <t>Verify Product Logo functionality for bottom navbar logo position</t>
  </si>
  <si>
    <t>Open website, check bottom navbar left logo</t>
  </si>
  <si>
    <t>1. Open the website
2. Scroll to the bottom navbar</t>
  </si>
  <si>
    <t>Same logo is shown on the LEFT of the bottom navbar.</t>
  </si>
  <si>
    <t>PL-CLI-NAV-003</t>
  </si>
  <si>
    <t>Verify Product Logo functionality for website update after admin saves</t>
  </si>
  <si>
    <t>Admin saves new English logo, open website in English</t>
  </si>
  <si>
    <t>1. Admin replaces English logo and saves
2. Open/refresh website in English
3. Check top and bottom navbar</t>
  </si>
  <si>
    <t>New logo shown in BOTH top and bottom navbar.</t>
  </si>
  <si>
    <t>PL-CLI-NAV-004</t>
  </si>
  <si>
    <t>Verify Product Logo functionality for other languages after single-language save</t>
  </si>
  <si>
    <t>After English save, switch site to other languages</t>
  </si>
  <si>
    <t>Admin has access to BO &gt; Product Logo.; Client website opened in browser (PC).; Only English logo was changed.</t>
  </si>
  <si>
    <t>1. Switch website language to 繁體, 简体, Spain
2. Check navbars</t>
  </si>
  <si>
    <t>These languages still show their previous logo.</t>
  </si>
  <si>
    <t>PL-CLI-NAV-005</t>
  </si>
  <si>
    <t>Verify Product Logo functionality for switching website language</t>
  </si>
  <si>
    <t>Switch website language, check logo changes</t>
  </si>
  <si>
    <t>Admin has access to BO &gt; Product Logo.; Client website opened in browser (PC).; Different logos saved for English and 日本語.</t>
  </si>
  <si>
    <t>1. Set site language to English
2. Switch to 日本語</t>
  </si>
  <si>
    <t>Logo changes immediately to the logo configured for the selected language (top and bottom).</t>
  </si>
  <si>
    <t>PL-CLI-NAV-006</t>
  </si>
  <si>
    <t>Verify Product Logo functionality for never-changed language</t>
  </si>
  <si>
    <t>Open website in language never edited</t>
  </si>
  <si>
    <t>Admin has access to BO &gt; Product Logo.; Client website opened in browser (PC).; Bengali logo was never changed in BO.</t>
  </si>
  <si>
    <t>1. Switch website language to Bengali</t>
  </si>
  <si>
    <t>Bengali keeps the current default logo.</t>
  </si>
  <si>
    <t>PL-CLI-NAV-007</t>
  </si>
  <si>
    <t>Verify Product Logo functionality for override to All languages on website</t>
  </si>
  <si>
    <t>Admin overrides All languages, check each site language</t>
  </si>
  <si>
    <t>1. Admin saves logo with 'All languages' ticked
2. Switch website through all 12 languages</t>
  </si>
  <si>
    <t>All 12 languages show the same new logo in top and bottom navbar.</t>
  </si>
  <si>
    <t>PL-CLI-NAV-008</t>
  </si>
  <si>
    <t>Verify Product Logo functionality for SVG and WEBP rendering</t>
  </si>
  <si>
    <t>Save SVG / WEBP logo, check website</t>
  </si>
  <si>
    <t>1. Admin saves SVG logo for English
2. Check website
3. Repeat with WEBP</t>
  </si>
  <si>
    <t>logo.svg; logo.webp</t>
  </si>
  <si>
    <t>Logo renders sharp and correct in all supported browsers (Chrome, Safari, Firefox, Edge).</t>
  </si>
  <si>
    <t>PL-CLI-NAV-009</t>
  </si>
  <si>
    <t>Verify Product Logo functionality for transparent background on navbar</t>
  </si>
  <si>
    <t>Save transparent logo, check navbar background</t>
  </si>
  <si>
    <t>1. Admin saves transparent PNG
2. Check top and bottom navbar</t>
  </si>
  <si>
    <t>logo_transparent.png</t>
  </si>
  <si>
    <t>Navbar background shows through; no white/black box around the logo.</t>
  </si>
  <si>
    <t>PL-CLI-NAV-010</t>
  </si>
  <si>
    <t>Verify Product Logo functionality for logo size and aspect ratio</t>
  </si>
  <si>
    <t>Check logo on PC and mobile widths</t>
  </si>
  <si>
    <t>1. Open website at 1920x1080
2. Open at mobile width (375px) / mobile device
3. Check logo in both navbars</t>
  </si>
  <si>
    <t>logo 365 x 110 px</t>
  </si>
  <si>
    <t>Logo fits the navbar, keeps aspect ratio, not stretched, cut or overlapping other navbar items.</t>
  </si>
  <si>
    <t>PL-CLI-NAV-011</t>
  </si>
  <si>
    <t>Verify Product Logo functionality for cache after logo update</t>
  </si>
  <si>
    <t>Open website before and after admin update</t>
  </si>
  <si>
    <t>1. Open website (old logo loaded)
2. Admin saves new logo
3. Normal refresh website
4. Open in new incognito window</t>
  </si>
  <si>
    <t>logo_new.png</t>
  </si>
  <si>
    <t>New logo shown after normal refresh and in a new session; old logo not stuck in cache. (See OQ-18.)</t>
  </si>
  <si>
    <t>PL-CLI-NAV-012</t>
  </si>
  <si>
    <t>Verify Product Logo functionality for guest and logged-in member</t>
  </si>
  <si>
    <t>Check logo before and after member login</t>
  </si>
  <si>
    <t>1. Open website as guest
2. Login as member
3. Check navbars both times</t>
  </si>
  <si>
    <t>Same configured logo shown for guest and logged-in member.</t>
  </si>
  <si>
    <t>Weibo</t>
  </si>
  <si>
    <t>Other referral setting</t>
  </si>
  <si>
    <t>Sak</t>
  </si>
  <si>
    <t>Verify Other Referral setting List</t>
  </si>
  <si>
    <t>Verify all Other Referral setting configurations are displayed</t>
  </si>
  <si>
    <t>- Admin logged in
- Existing Other Referral setting</t>
  </si>
  <si>
    <t>- Open Referral Setting 
- Open Other Referral setting</t>
  </si>
  <si>
    <t>All Other Referral setting are displayed with correct No, Title, Third-party referral link, Order, Status and Action</t>
  </si>
  <si>
    <t>Verify Adding Referral setting</t>
  </si>
  <si>
    <t>Verify admin can create a new Other Referral setting</t>
  </si>
  <si>
    <t>Admin logged in</t>
  </si>
  <si>
    <t>- Open Referral Setting 
- Open Other Referral setting
- Click Add another referral
- Enter all required fields
- Click Add</t>
  </si>
  <si>
    <t>Title=WeTV
Link=wetv.app
Content=Hello
Order=1
Status=Active checked
Override all language</t>
  </si>
  <si>
    <t>- New referral setting is created and displayed in the list
- On client, can see the referral tab on Referral Link page</t>
  </si>
  <si>
    <t>Verify Adding Referral setting more than 5</t>
  </si>
  <si>
    <t>Verify admin cannot create a new Other Referral setting after reaching limit 5</t>
  </si>
  <si>
    <t>Admin logged in
- 5 existed</t>
  </si>
  <si>
    <t>Should show an error message</t>
  </si>
  <si>
    <t>Verify Modify Referral setting</t>
  </si>
  <si>
    <t>Verify admin can modify an existing Referral setting</t>
  </si>
  <si>
    <t>Existing Referral setting</t>
  </si>
  <si>
    <t>- Click Modify
- Update information
- Click Save</t>
  </si>
  <si>
    <t>Title WeTV → JoTV</t>
  </si>
  <si>
    <t>Updated information is saved and displayed correctly both admin and client</t>
  </si>
  <si>
    <t>Verify Delete Referral setting</t>
  </si>
  <si>
    <t>Verify admin can delete a referral setting</t>
  </si>
  <si>
    <t>Existing referral setting</t>
  </si>
  <si>
    <t>- Click Delete
- Confirm deletion</t>
  </si>
  <si>
    <t>JoTV</t>
  </si>
  <si>
    <t>Referral setting is deleted and no longer displayed for both admin and client</t>
  </si>
  <si>
    <t>Verify Required Field Validation</t>
  </si>
  <si>
    <t>Verify mandatory field validation</t>
  </si>
  <si>
    <t>Admin on Add page</t>
  </si>
  <si>
    <t>1. Leave required fields empty
2. Click Create</t>
  </si>
  <si>
    <t>Empty fields</t>
  </si>
  <si>
    <t>Validation message is displayed</t>
  </si>
  <si>
    <t>Verify Modify Status</t>
  </si>
  <si>
    <t>Verify Active/Inactive status can be configured on Referral Setting list</t>
  </si>
  <si>
    <t>Existing referral benefit</t>
  </si>
  <si>
    <t>1. Modify Status
2. Save</t>
  </si>
  <si>
    <t>Active → Inactive</t>
  </si>
  <si>
    <t>- Status is updated successfully
- If inactive, on client cannot see that referral tab on Referral Link page</t>
  </si>
  <si>
    <t>Verify Banner upload UI on Add another referral</t>
  </si>
  <si>
    <t>Verify Banner upload section is displayed on Add page</t>
  </si>
  <si>
    <t>- Admin logged in</t>
  </si>
  <si>
    <t>- Open Referral Setting
- Open Other Referral setting
- Click Add another referral</t>
  </si>
  <si>
    <t>- Banner upload section is displayed above Title with Upload image and Delete image buttons
- Hint text: The recommended width is 920px，The recommended height is 336px</t>
  </si>
  <si>
    <t>Verify Adding Other Referral with banner</t>
  </si>
  <si>
    <t>Verify admin can create a referral with a banner image</t>
  </si>
  <si>
    <t>- Click Add another referral
- Click Upload image, select valid image
- Enter all required fields
- Click Add</t>
  </si>
  <si>
    <t>Banner=banner_920x336.png
Title=WeTV
Link=wetv.app
Content=Hello
Order=1
Active checked</t>
  </si>
  <si>
    <t>- Image preview is displayed after upload
- Referral is created and listed
- On client Referral Link page, the referral card shows the uploaded banner with Title, Content, Link, QR code, Download, Copy, Share</t>
  </si>
  <si>
    <t>Verify Banner upload with supported file types</t>
  </si>
  <si>
    <t>Verify JPG / JPEG / PNG / WEBP banner is accepted</t>
  </si>
  <si>
    <t>- Admin on Add page</t>
  </si>
  <si>
    <t>- Click Upload image
- Select each file type
- Fill required fields
- Click Add</t>
  </si>
  <si>
    <t>banner.jpg
banner.jpeg
banner.png
banner.webp
(920x336)</t>
  </si>
  <si>
    <t>Each file uploads, shows preview, saves and displays correctly on client</t>
  </si>
  <si>
    <t>Verify Banner upload with unsupported file types</t>
  </si>
  <si>
    <t>Verify invalid file type is rejected</t>
  </si>
  <si>
    <t>- Click Upload image
- Select unsupported file</t>
  </si>
  <si>
    <t>file.pdf
file.txt
file.exe
file.mp4</t>
  </si>
  <si>
    <t>- File is rejected with an error message
- No preview, file is not saved</t>
  </si>
  <si>
    <t>Verify Banner upload file size limit</t>
  </si>
  <si>
    <t>Verify image larger than max size is rejected</t>
  </si>
  <si>
    <t>- Click Upload image
- Select image larger than limit</t>
  </si>
  <si>
    <t>banner_10MB.png</t>
  </si>
  <si>
    <t>Error message about max file size is displayed and image is not uploaded
(Open question: max file size?)</t>
  </si>
  <si>
    <t>Verify Banner upload with non-recommended size</t>
  </si>
  <si>
    <t>Verify image with dimension other than 920x336</t>
  </si>
  <si>
    <t>- Upload image with other dimension
- Fill required fields
- Click Add</t>
  </si>
  <si>
    <t>640x440 (same ratio)
1920x1080 (other ratio)
300x1000 (portrait)</t>
  </si>
  <si>
    <t>Error message about dimension is displayed and image is not uploaded</t>
  </si>
  <si>
    <t>Verify Delete image before saving</t>
  </si>
  <si>
    <t>Verify admin can remove the uploaded banner on Add page</t>
  </si>
  <si>
    <t>- Admin on Add page
- Image uploaded</t>
  </si>
  <si>
    <t>- Click Upload image
- Click Delete image</t>
  </si>
  <si>
    <t>banner_1280x880.png</t>
  </si>
  <si>
    <t>Preview is removed and banner field becomes empty</t>
  </si>
  <si>
    <t>Verify Adding referral without banner</t>
  </si>
  <si>
    <t>Verify behavior when banner is not uploaded</t>
  </si>
  <si>
    <t>- Enter Title, Link, Content, Order
- Do not upload banner
- Click Add</t>
  </si>
  <si>
    <t>No banner</t>
  </si>
  <si>
    <t>banner required for English / 繁體 / 简体</t>
  </si>
  <si>
    <t>Verify Modify page loads existing banner</t>
  </si>
  <si>
    <t>Verify saved banner is shown on Modify page</t>
  </si>
  <si>
    <t>- Existing referral with banner</t>
  </si>
  <si>
    <t>- Open Other Referral setting
- Click Modify</t>
  </si>
  <si>
    <t>Existing banner preview is displayed together with saved Title, Link, Content, Order, Status</t>
  </si>
  <si>
    <t>Verify Replace banner on Modify</t>
  </si>
  <si>
    <t>Verify admin can replace the banner image</t>
  </si>
  <si>
    <t>- Click Modify
- Click Upload image, choose new image
- Click Save</t>
  </si>
  <si>
    <t>old.png → new.png</t>
  </si>
  <si>
    <t>- New banner is saved
- Client shows the new banner after refresh (old image not cached)</t>
  </si>
  <si>
    <t>Verify Delete banner on Modify</t>
  </si>
  <si>
    <t>Verify admin can delete an existing banner</t>
  </si>
  <si>
    <t>- Click Modify
- Click Delete image
- Click Save</t>
  </si>
  <si>
    <t>Verify banner per language</t>
  </si>
  <si>
    <t>Verify each language tab keeps its own banner</t>
  </si>
  <si>
    <t>- On 繁體 tab upload banner A
- Switch to English tab, upload banner B
- Click Add
- On client switch language 繁體 / English</t>
  </si>
  <si>
    <t>繁體=banner_A
English=banner_B</t>
  </si>
  <si>
    <t>- Client 繁體 shows banner A, English shows banner B
- Language without banner: will be empty</t>
  </si>
  <si>
    <t>Verify Override above contents copies banner</t>
  </si>
  <si>
    <t>Verify Override to All languages also copies the banner</t>
  </si>
  <si>
    <t>- On 繁體 tab upload banner and fill fields
- Tick Override above contents to: All languages
- Click Add
- Check other language tabs and client</t>
  </si>
  <si>
    <t>All languages</t>
  </si>
  <si>
    <t>All language tabs have the same banner, Title, Link, Content; client shows the same banner in every language</t>
  </si>
  <si>
    <t>Verify Override to selected languages only</t>
  </si>
  <si>
    <t>Verify only ticked languages are overwritten</t>
  </si>
  <si>
    <t>- Existing referral with different banner per language</t>
  </si>
  <si>
    <t>- On 繁體 tab upload new banner
- Tick English only
- Click Save</t>
  </si>
  <si>
    <t>Override=English</t>
  </si>
  <si>
    <t>English gets the 繁體 banner; other languages keep their own banner</t>
  </si>
  <si>
    <t>Verify Download poster on client</t>
  </si>
  <si>
    <t>Verify member can download the others referral poster</t>
  </si>
  <si>
    <t>- Member logged in
- Active others referral with banner</t>
  </si>
  <si>
    <t>- Client: Me &gt; Referral Link
- On Others referral card click Download</t>
  </si>
  <si>
    <t>Poster image is downloaded / saved to device
(Open question: does downloaded image include QR code?)</t>
  </si>
  <si>
    <t>No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</si>
</sst>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yyyy\-mm\-dd"/>
    <numFmt numFmtId="166" formatCode="m/d/yyyy"/>
    <numFmt numFmtId="167" formatCode="yyyy-mm-dd h:mm:ss"/>
    <numFmt numFmtId="168" formatCode="mmmm dd, yyyy"/>
  </numFmts>
  <fonts count="229">
    <font>
      <sz val="11.0"/>
      <color theme="1"/>
      <name val="Calibri"/>
      <scheme val="minor"/>
    </font>
    <font>
      <b/>
      <sz val="14.0"/>
      <color rgb="FFFFFFFF"/>
      <name val="Arial"/>
    </font>
    <font/>
    <font>
      <i/>
      <sz val="10.0"/>
      <color rgb="FF1F4E78"/>
      <name val="Arial"/>
    </font>
    <font>
      <sz val="11.0"/>
      <color theme="1"/>
      <name val="Calibri"/>
    </font>
    <font>
      <b/>
      <sz val="10.0"/>
      <color rgb="FFFFFFFF"/>
      <name val="Arial"/>
    </font>
    <font>
      <b/>
      <sz val="10.0"/>
      <color theme="1"/>
      <name val="Arial"/>
    </font>
    <font>
      <sz val="10.0"/>
      <color theme="1"/>
      <name val="Arial"/>
    </font>
    <font>
      <b/>
      <sz val="10.0"/>
      <color rgb="FF1F4E78"/>
      <name val="Arial"/>
    </font>
    <font>
      <b/>
      <sz val="12.0"/>
      <color rgb="FFFFFFFF"/>
      <name val="Arial"/>
    </font>
    <font>
      <b/>
      <color rgb="FFFFFFFF"/>
      <name val="Merriweather"/>
    </font>
    <font>
      <color theme="1"/>
      <name val="Arial"/>
    </font>
    <font>
      <b/>
      <i/>
      <sz val="20.0"/>
      <color rgb="FFFFFFFF"/>
      <name val="Merriweather"/>
    </font>
    <font>
      <b/>
      <sz val="20.0"/>
      <color rgb="FFFFFFFF"/>
      <name val="Merriweather"/>
    </font>
    <font>
      <b/>
      <sz val="15.0"/>
      <color rgb="FFFFFFFF"/>
      <name val="Merriweather"/>
    </font>
    <font>
      <b/>
      <i/>
      <sz val="22.0"/>
      <color rgb="FFFFFFFF"/>
      <name val="Merriweather"/>
    </font>
    <font>
      <b/>
      <sz val="22.0"/>
      <color rgb="FFFFFFFF"/>
      <name val="Merriweather"/>
    </font>
    <font>
      <b/>
      <sz val="20.0"/>
      <color theme="1"/>
      <name val="Arial"/>
    </font>
    <font>
      <b/>
      <color rgb="FFFFFFFF"/>
      <name val="Arial"/>
    </font>
    <font>
      <b/>
      <i/>
      <sz val="8.0"/>
      <color rgb="FFFFFFFF"/>
      <name val="Arial"/>
    </font>
    <font>
      <b/>
      <sz val="13.0"/>
      <color rgb="FFFFFFFF"/>
      <name val="Arial"/>
    </font>
    <font>
      <b/>
      <sz val="11.0"/>
      <color rgb="FFFFFFFF"/>
      <name val="Arial"/>
    </font>
    <font>
      <i/>
      <sz val="8.0"/>
      <color theme="1"/>
      <name val="Arial"/>
    </font>
    <font>
      <b/>
      <sz val="36.0"/>
      <color theme="1"/>
      <name val="Arial"/>
    </font>
    <font>
      <b/>
      <color theme="1"/>
      <name val="Arial"/>
    </font>
    <font>
      <b/>
      <i/>
      <sz val="9.0"/>
      <color rgb="FFFF0000"/>
      <name val="Arial"/>
    </font>
    <font>
      <b/>
      <sz val="8.0"/>
      <color rgb="FF980000"/>
      <name val="Arial"/>
    </font>
    <font>
      <b/>
      <i/>
      <sz val="9.0"/>
      <color rgb="FF980000"/>
      <name val="Arial"/>
    </font>
    <font>
      <b/>
      <sz val="36.0"/>
      <color rgb="FFFFFFFF"/>
      <name val="Arial"/>
    </font>
    <font>
      <color rgb="FFFFFFFF"/>
      <name val="Arial"/>
    </font>
    <font>
      <i/>
      <color rgb="FF980000"/>
      <name val="Arial"/>
    </font>
    <font>
      <color theme="1"/>
      <name val="Calibri"/>
      <scheme val="minor"/>
    </font>
    <font xmlns:main="http://schemas.openxmlformats.org/spreadsheetml/2006/main">
      <main:b/>
      <main:sz val="14.0"/>
      <main:color rgb="FFFFFFFF"/>
      <main:name val="Arial"/>
    </font>
    <font/>
    <font/>
    <font xmlns:main="http://schemas.openxmlformats.org/spreadsheetml/2006/main">
      <main:color theme="1"/>
      <main:name val="Calibri"/>
      <main:scheme val="minor"/>
    </font>
    <font xmlns:main="http://schemas.openxmlformats.org/spreadsheetml/2006/main">
      <main:b/>
      <main:sz val="10.0"/>
      <main:color rgb="FFFFFFFF"/>
      <main:name val="Arial"/>
    </font>
    <font xmlns:main="http://schemas.openxmlformats.org/spreadsheetml/2006/main">
      <main:b/>
      <main:sz val="11.0"/>
      <main:color rgb="FFFFFFFF"/>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Arial"/>
    </font>
    <font xmlns:main="http://schemas.openxmlformats.org/spreadsheetml/2006/main">
      <main:sz val="10.0"/>
      <main:color theme="1"/>
      <main:name val="Noto Sans"/>
    </font>
    <font xmlns:main="http://schemas.openxmlformats.org/spreadsheetml/2006/main">
      <main:b val="true"/>
      <main:sz val="14"/>
      <main:color rgb="FFFFFFFF"/>
      <main:name val="Arial"/>
      <main:family val="0"/>
      <main:charset val="1"/>
    </font>
    <font xmlns:main="http://schemas.openxmlformats.org/spreadsheetml/2006/main">
      <main:b val="true"/>
      <main:sz val="10"/>
      <main:color rgb="FFFFFFFF"/>
      <main:name val="Arial"/>
      <main:family val="0"/>
      <main:charset val="1"/>
    </font>
    <font xmlns:main="http://schemas.openxmlformats.org/spreadsheetml/2006/main">
      <main:b val="true"/>
      <main:sz val="11"/>
      <main:color rgb="FFFFFFFF"/>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Arial"/>
      <main:family val="0"/>
      <main:charset val="1"/>
    </font>
    <font xmlns:main="http://schemas.openxmlformats.org/spreadsheetml/2006/main">
      <main:sz val="10"/>
      <main:name val="Noto Sans CJK SC"/>
      <main:family val="2"/>
      <main:charset val="1"/>
    </font>
    <font xmlns:main="http://schemas.openxmlformats.org/spreadsheetml/2006/main">
      <main:b/>
      <main:color theme="1"/>
      <main:name val="Merriweather"/>
    </font>
    <font xmlns:main="http://schemas.openxmlformats.org/spreadsheetml/2006/main">
      <main:color theme="1"/>
      <main:name val="Merriweather"/>
    </font>
    <font xmlns:main="http://schemas.openxmlformats.org/spreadsheetml/2006/main">
      <main:color theme="1"/>
      <main:name val="Arial"/>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color theme="1"/>
      <main:name val="Merriweather"/>
    </font>
    <font xmlns:main="http://schemas.openxmlformats.org/spreadsheetml/2006/main">
      <main:color theme="1"/>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6.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color theme="1"/>
      <main:name val="Merriweather"/>
    </font>
    <font xmlns:main="http://schemas.openxmlformats.org/spreadsheetml/2006/main">
      <main:color theme="1"/>
      <main:name val="Arial"/>
    </font>
    <font xmlns:main="http://schemas.openxmlformats.org/spreadsheetml/2006/main">
      <main:b/>
      <main:sz val="20.0"/>
      <main:color theme="1"/>
      <main:name val="Arial"/>
    </font>
    <font/>
    <font xmlns:main="http://schemas.openxmlformats.org/spreadsheetml/2006/main">
      <main:color theme="1"/>
      <main:name val="Arial"/>
    </font>
    <font xmlns:main="http://schemas.openxmlformats.org/spreadsheetml/2006/main">
      <main:b/>
      <main:color theme="1"/>
      <main:name val="Arial"/>
    </font>
    <font xmlns:main="http://schemas.openxmlformats.org/spreadsheetml/2006/main">
      <main:color theme="1"/>
      <main:name val="Arial"/>
    </font>
    <font xmlns:main="http://schemas.openxmlformats.org/spreadsheetml/2006/main">
      <main:b/>
      <main:sz val="11.0"/>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sz val="9.0"/>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u/>
      <main:sz val="11.0"/>
      <main:color rgb="FF1155CC"/>
      <main:name val="Calibri"/>
    </font>
    <font xmlns:main="http://schemas.openxmlformats.org/spreadsheetml/2006/main">
      <main:color theme="1"/>
      <main:name val="Arial"/>
    </font>
    <font xmlns:main="http://schemas.openxmlformats.org/spreadsheetml/2006/main">
      <main:color theme="1"/>
      <main:name val="Noto Sans"/>
    </font>
    <font xmlns:main="http://schemas.openxmlformats.org/spreadsheetml/2006/main">
      <main:b/>
      <main:sz val="9.0"/>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u/>
      <main:color rgb="FF1155CC"/>
      <main:name val="Arial"/>
    </font>
    <font xmlns:main="http://schemas.openxmlformats.org/spreadsheetml/2006/main">
      <main:b/>
      <main:color theme="1"/>
      <main:name val="Arial"/>
    </font>
    <font xmlns:main="http://schemas.openxmlformats.org/spreadsheetml/2006/main">
      <main:b/>
      <main:color theme="1"/>
      <main:name val="Merriweather"/>
    </font>
    <font xmlns:main="http://schemas.openxmlformats.org/spreadsheetml/2006/main">
      <main:color theme="1"/>
      <main:name val="Merriweather"/>
    </font>
    <font xmlns:main="http://schemas.openxmlformats.org/spreadsheetml/2006/main">
      <main:color theme="1"/>
      <main:name val="Arial"/>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color theme="1"/>
      <main:name val="Merriweather"/>
    </font>
    <font xmlns:main="http://schemas.openxmlformats.org/spreadsheetml/2006/main">
      <main:color theme="1"/>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6.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b/>
      <main:sz val="18.0"/>
      <main:color rgb="FFFFFFFF"/>
      <main:name val="Merriweather"/>
    </font>
    <font xmlns:main="http://schemas.openxmlformats.org/spreadsheetml/2006/main">
      <main:color theme="1"/>
      <main:name val="Merriweather"/>
    </font>
    <font xmlns:main="http://schemas.openxmlformats.org/spreadsheetml/2006/main">
      <main:color theme="1"/>
      <main:name val="Arial"/>
    </font>
    <font xmlns:main="http://schemas.openxmlformats.org/spreadsheetml/2006/main">
      <main:b/>
      <main:sz val="20.0"/>
      <main:color theme="1"/>
      <main:name val="Arial"/>
    </font>
    <font/>
    <font xmlns:main="http://schemas.openxmlformats.org/spreadsheetml/2006/main">
      <main:color theme="1"/>
      <main:name val="Arial"/>
    </font>
    <font xmlns:main="http://schemas.openxmlformats.org/spreadsheetml/2006/main">
      <main:b/>
      <main:color theme="1"/>
      <main:name val="Arial"/>
    </font>
    <font xmlns:main="http://schemas.openxmlformats.org/spreadsheetml/2006/main">
      <main:color theme="1"/>
      <main:name val="Arial"/>
    </font>
    <font xmlns:main="http://schemas.openxmlformats.org/spreadsheetml/2006/main">
      <main:b/>
      <main:sz val="11.0"/>
      <main:color rgb="FF1F3864"/>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u/>
      <main:sz val="11.0"/>
      <main:color rgb="FF1155CC"/>
      <main:name val="Calibri"/>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Noto Sans"/>
    </font>
    <font xmlns:main="http://schemas.openxmlformats.org/spreadsheetml/2006/main">
      <main:color theme="1"/>
      <main:name val="Noto Sans"/>
    </font>
    <font xmlns:main="http://schemas.openxmlformats.org/spreadsheetml/2006/main">
      <main:sz val="11.0"/>
      <main:color theme="1"/>
      <main:name val="Calibri"/>
    </font>
    <font xmlns:main="http://schemas.openxmlformats.org/spreadsheetml/2006/main">
      <main:b/>
      <main:sz val="13.0"/>
      <main:color rgb="FFFFFFFF"/>
      <main:name val="Merriweather"/>
    </font>
    <font xmlns:main="http://schemas.openxmlformats.org/spreadsheetml/2006/main">
      <main:b/>
      <main:sz val="15.0"/>
      <main:color rgb="FFFFFFFF"/>
      <main:name val="Merriweather"/>
    </font>
    <font xmlns:main="http://schemas.openxmlformats.org/spreadsheetml/2006/main">
      <main:color theme="1"/>
      <main:name val="Arial"/>
    </font>
    <font xmlns:main="http://schemas.openxmlformats.org/spreadsheetml/2006/main">
      <main:b/>
      <main:sz val="17.0"/>
      <main:color rgb="FFFFFFFF"/>
      <main:name val="Merriweather"/>
    </font>
    <font xmlns:main="http://schemas.openxmlformats.org/spreadsheetml/2006/main">
      <main:b/>
      <main:sz val="15.0"/>
      <main:color rgb="FFFFFFFF"/>
      <main:name val="Merriweather"/>
    </font>
    <font xmlns:main="http://schemas.openxmlformats.org/spreadsheetml/2006/main">
      <main:b/>
      <main:sz val="17.0"/>
      <main:color rgb="FFFFFFFF"/>
      <main:name val="Merriweather"/>
    </font>
    <font xmlns:main="http://schemas.openxmlformats.org/spreadsheetml/2006/main">
      <main:b/>
      <main:sz val="15.0"/>
      <main:color rgb="FFFFFFFF"/>
      <main:name val="Merriweather"/>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sz val="13.0"/>
      <main:color rgb="FFFFFFFF"/>
      <main:name val="Merriweather"/>
    </font>
    <font xmlns:main="http://schemas.openxmlformats.org/spreadsheetml/2006/main">
      <main:b/>
      <main:sz val="15.0"/>
      <main:color rgb="FFFFFFFF"/>
      <main:name val="Merriweather"/>
    </font>
    <font xmlns:main="http://schemas.openxmlformats.org/spreadsheetml/2006/main">
      <main:b/>
      <main:sz val="17.0"/>
      <main:color rgb="FFFFFFFF"/>
      <main:name val="Merriweather"/>
    </font>
    <font xmlns:main="http://schemas.openxmlformats.org/spreadsheetml/2006/main">
      <main:b/>
      <main:sz val="15.0"/>
      <main:color rgb="FFFFFFFF"/>
      <main:name val="Merriweather"/>
    </font>
    <font xmlns:main="http://schemas.openxmlformats.org/spreadsheetml/2006/main">
      <main:b/>
      <main:sz val="17.0"/>
      <main:color rgb="FFFFFFFF"/>
      <main:name val="Merriweather"/>
    </font>
    <font xmlns:main="http://schemas.openxmlformats.org/spreadsheetml/2006/main">
      <main:b/>
      <main:sz val="15.0"/>
      <main:color rgb="FFFFFFFF"/>
      <main:name val="Merriweather"/>
    </font>
    <font xmlns:main="http://schemas.openxmlformats.org/spreadsheetml/2006/main">
      <main:b/>
      <main:sz val="15.0"/>
      <main:color rgb="FFFFFFFF"/>
      <main:name val="Merriweather"/>
    </font>
    <font xmlns:main="http://schemas.openxmlformats.org/spreadsheetml/2006/main">
      <main:b/>
      <main:sz val="17.0"/>
      <main:color rgb="FFFFFFFF"/>
      <main:name val="Merriweather"/>
    </font>
    <font xmlns:main="http://schemas.openxmlformats.org/spreadsheetml/2006/main">
      <main:b/>
      <main:sz val="15.0"/>
      <main:color rgb="FFFFFFFF"/>
      <main:name val="Merriweather"/>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sz val="20.0"/>
      <main:color rgb="FFFFFFFF"/>
      <main:name val="Merriweather"/>
    </font>
    <font xmlns:main="http://schemas.openxmlformats.org/spreadsheetml/2006/main">
      <main:b/>
      <main:sz val="15.0"/>
      <main:color rgb="FFFFFFFF"/>
      <main:name val="Merriweather"/>
    </font>
    <font xmlns:main="http://schemas.openxmlformats.org/spreadsheetml/2006/main">
      <main:b/>
      <main:sz val="15.0"/>
      <main:color rgb="FFFFFFFF"/>
      <main:name val="Merriweather"/>
    </font>
    <font xmlns:main="http://schemas.openxmlformats.org/spreadsheetml/2006/main">
      <main:sz val="15.0"/>
      <main:color rgb="FFFFFFFF"/>
      <main:name val="Merriweather"/>
    </font>
    <font xmlns:main="http://schemas.openxmlformats.org/spreadsheetml/2006/main">
      <main:b/>
      <main:sz val="20.0"/>
      <main:color theme="1"/>
      <main:name val="Arial"/>
    </font>
    <font xmlns:main="http://schemas.openxmlformats.org/spreadsheetml/2006/main">
      <main:b/>
      <main:sz val="20.0"/>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sz val="11.0"/>
      <main:color rgb="FFFFFFFF"/>
      <main:name val="Arial"/>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b/>
      <main:sz val="11.0"/>
      <main:color rgb="FFFFFFFF"/>
      <main:name val="Arial"/>
    </font>
    <font xmlns:main="http://schemas.openxmlformats.org/spreadsheetml/2006/main">
      <main:b/>
      <main:sz val="11.0"/>
      <main:color rgb="FFFFFFFF"/>
      <main:name val="Arial"/>
    </font>
    <font xmlns:main="http://schemas.openxmlformats.org/spreadsheetml/2006/main">
      <main:b/>
      <main:sz val="11.0"/>
      <main:color rgb="FFFFFFFF"/>
      <main:name val="Arial"/>
    </font>
    <font xmlns:main="http://schemas.openxmlformats.org/spreadsheetml/2006/main">
      <main:sz val="11.0"/>
      <main:color rgb="FFFFFFFF"/>
      <main:name val="Calibri"/>
    </font>
    <font xmlns:main="http://schemas.openxmlformats.org/spreadsheetml/2006/main">
      <main:sz val="11.0"/>
      <main:color rgb="FFFFFFFF"/>
      <main:name val="Calibri"/>
    </font>
    <font xmlns:main="http://schemas.openxmlformats.org/spreadsheetml/2006/main">
      <main:sz val="11.0"/>
      <main:color rgb="FFFFFFFF"/>
      <main:name val="Calibri"/>
    </font>
    <font xmlns:main="http://schemas.openxmlformats.org/spreadsheetml/2006/main">
      <main:color theme="1"/>
      <main:name val="Arial"/>
    </font>
    <font xmlns:main="http://schemas.openxmlformats.org/spreadsheetml/2006/main">
      <main:b/>
      <main:i/>
      <main:sz val="8.0"/>
      <main:color rgb="FFFF0000"/>
      <main:name val="Arial"/>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sz val="11.0"/>
      <main:color theme="1"/>
      <main:name val="Calibri"/>
    </font>
    <font xmlns:main="http://schemas.openxmlformats.org/spreadsheetml/2006/main">
      <main:b/>
      <main:i/>
      <main:sz val="8.0"/>
      <main:color rgb="FFFF0000"/>
      <main:name val="Arial"/>
    </font>
    <font xmlns:main="http://schemas.openxmlformats.org/spreadsheetml/2006/main">
      <main:sz val="11.0"/>
      <main:color theme="1"/>
      <main:name val="Calibri"/>
    </font>
    <font xmlns:main="http://schemas.openxmlformats.org/spreadsheetml/2006/main">
      <main:b/>
      <main:i/>
      <main:sz val="8.0"/>
      <main:color rgb="FFFF0000"/>
      <main:name val="Arial"/>
    </font>
    <font xmlns:main="http://schemas.openxmlformats.org/spreadsheetml/2006/main">
      <main:b/>
      <main:i/>
      <main:sz val="8.0"/>
      <main:color rgb="FFFF0000"/>
      <main:name val="Arial"/>
    </font>
    <font xmlns:main="http://schemas.openxmlformats.org/spreadsheetml/2006/main">
      <main:color theme="1"/>
      <main:name val="Arial"/>
    </font>
    <font xmlns:main="http://schemas.openxmlformats.org/spreadsheetml/2006/main">
      <main:b/>
      <main:sz val="11.0"/>
      <main:color rgb="FFFFFFFF"/>
      <main:name val="Arial"/>
    </font>
    <font xmlns:main="http://schemas.openxmlformats.org/spreadsheetml/2006/main">
      <main:sz val="11.0"/>
      <main:color rgb="FFFFFFFF"/>
      <main:name val="Calibri"/>
    </font>
    <font xmlns:main="http://schemas.openxmlformats.org/spreadsheetml/2006/main">
      <main:sz val="11.0"/>
      <main:color rgb="FFFFFFFF"/>
      <main:name val="Calibri"/>
    </font>
    <font xmlns:main="http://schemas.openxmlformats.org/spreadsheetml/2006/main">
      <main:b/>
      <main:i/>
      <main:sz val="8.0"/>
      <main:color rgb="FFFF0000"/>
      <main:name val="Noto Sans"/>
    </font>
    <font xmlns:main="http://schemas.openxmlformats.org/spreadsheetml/2006/main">
      <main:color theme="1"/>
      <main:name val="Noto Sans"/>
    </font>
    <font xmlns:main="http://schemas.openxmlformats.org/spreadsheetml/2006/main">
      <main:b/>
      <main:sz val="13.0"/>
      <main:color rgb="FFFFFFFF"/>
      <main:name val="Merriweather"/>
    </font>
    <font xmlns:main="http://schemas.openxmlformats.org/spreadsheetml/2006/main">
      <main:sz val="13.0"/>
      <main:color rgb="FFFFFFFF"/>
      <main:name val="Merriweather"/>
    </font>
    <font xmlns:main="http://schemas.openxmlformats.org/spreadsheetml/2006/main">
      <main:color theme="1"/>
      <main:name val="Arial"/>
    </font>
    <font xmlns:main="http://schemas.openxmlformats.org/spreadsheetml/2006/main">
      <main:b/>
      <main:sz val="16.0"/>
      <main:color rgb="FFFFFFFF"/>
      <main:name val="Merriweather"/>
    </font>
    <font xmlns:main="http://schemas.openxmlformats.org/spreadsheetml/2006/main">
      <main:b/>
      <main:sz val="15.0"/>
      <main:color rgb="FFFFFFFF"/>
      <main:name val="Merriweather"/>
    </font>
    <font xmlns:main="http://schemas.openxmlformats.org/spreadsheetml/2006/main">
      <main:b/>
      <main:sz val="15.0"/>
      <main:color rgb="FFFFFFFF"/>
      <main:name val="Arial"/>
    </font>
    <font xmlns:main="http://schemas.openxmlformats.org/spreadsheetml/2006/main">
      <main:b/>
      <main:sz val="15.0"/>
      <main:color rgb="FFFFFFFF"/>
      <main:name val="Arial"/>
    </font>
    <font xmlns:main="http://schemas.openxmlformats.org/spreadsheetml/2006/main">
      <main:sz val="13.0"/>
      <main:color rgb="FFFFFFFF"/>
      <main:name val="Merriweather"/>
    </font>
    <font xmlns:main="http://schemas.openxmlformats.org/spreadsheetml/2006/main">
      <main:b/>
      <main:sz val="16.0"/>
      <main:color rgb="FFFFFFFF"/>
      <main:name val="Merriweather"/>
    </font>
    <font xmlns:main="http://schemas.openxmlformats.org/spreadsheetml/2006/main">
      <main:b/>
      <main:sz val="15.0"/>
      <main:color rgb="FFFFFFFF"/>
      <main:name val="Merriweather"/>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b/>
      <main:sz val="16.0"/>
      <main:color rgb="FFFFFFFF"/>
      <main:name val="Merriweather"/>
    </font>
    <font xmlns:main="http://schemas.openxmlformats.org/spreadsheetml/2006/main">
      <main:b/>
      <main:sz val="16.0"/>
      <main:color rgb="FFFFFFFF"/>
      <main:name val="Merriweather"/>
    </font>
    <font xmlns:main="http://schemas.openxmlformats.org/spreadsheetml/2006/main">
      <main:sz val="13.0"/>
      <main:color rgb="FFFFFFFF"/>
      <main:name val="Merriweather"/>
    </font>
    <font xmlns:main="http://schemas.openxmlformats.org/spreadsheetml/2006/main">
      <main:color theme="1"/>
      <main:name val="Arial"/>
    </font>
    <font xmlns:main="http://schemas.openxmlformats.org/spreadsheetml/2006/main">
      <main:b/>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sz val="11.0"/>
      <main:color theme="1"/>
      <main:name val="Calibri"/>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color theme="1"/>
      <main:name val="Arial"/>
    </font>
    <font xmlns:main="http://schemas.openxmlformats.org/spreadsheetml/2006/main">
      <main:sz val="11.0"/>
      <main:color theme="1"/>
      <main:name val="Calibri"/>
    </font>
  </fonts>
  <fills count="42">
    <fill>
      <patternFill patternType="none"/>
    </fill>
    <fill>
      <patternFill patternType="lightGray"/>
    </fill>
    <fill>
      <patternFill patternType="solid">
        <fgColor rgb="FF1F4E78"/>
        <bgColor rgb="FF1F4E78"/>
      </patternFill>
    </fill>
    <fill>
      <patternFill patternType="solid">
        <fgColor rgb="FFD9E4F1"/>
        <bgColor rgb="FFD9E4F1"/>
      </patternFill>
    </fill>
    <fill>
      <patternFill patternType="solid">
        <fgColor rgb="FF4472A8"/>
        <bgColor rgb="FF4472A8"/>
      </patternFill>
    </fill>
    <fill>
      <patternFill patternType="solid">
        <fgColor rgb="FFF2F2F2"/>
        <bgColor rgb="FFF2F2F2"/>
      </patternFill>
    </fill>
    <fill>
      <patternFill patternType="solid">
        <fgColor rgb="FFF8CBCB"/>
        <bgColor rgb="FFF8CBCB"/>
      </patternFill>
    </fill>
    <fill>
      <patternFill patternType="solid">
        <fgColor rgb="FFFDEBC8"/>
        <bgColor rgb="FFFDEBC8"/>
      </patternFill>
    </fill>
    <fill>
      <patternFill patternType="solid">
        <fgColor rgb="FFDCEAD8"/>
        <bgColor rgb="FFDCEAD8"/>
      </patternFill>
    </fill>
    <fill>
      <patternFill patternType="solid">
        <fgColor rgb="FF85200C"/>
        <bgColor rgb="FF85200C"/>
      </patternFill>
    </fill>
    <fill>
      <patternFill patternType="solid">
        <fgColor rgb="FF6AA84F"/>
        <bgColor rgb="FF6AA84F"/>
      </patternFill>
    </fill>
    <fill>
      <patternFill patternType="solid">
        <fgColor rgb="FFE69138"/>
        <bgColor rgb="FFE69138"/>
      </patternFill>
    </fill>
    <fill>
      <patternFill patternType="solid">
        <fgColor rgb="FFCC0000"/>
        <bgColor rgb="FFCC0000"/>
      </patternFill>
    </fill>
    <fill>
      <patternFill patternType="solid">
        <fgColor rgb="FF34A853"/>
        <bgColor rgb="FF34A853"/>
      </patternFill>
    </fill>
    <fill>
      <patternFill patternType="solid">
        <fgColor rgb="FF0B3D24"/>
        <bgColor rgb="FF0B3D24"/>
      </patternFill>
    </fill>
    <fill>
      <patternFill patternType="solid">
        <fgColor rgb="FF2E5C8A"/>
        <bgColor rgb="FF2E5C8A"/>
      </patternFill>
    </fill>
    <fill>
      <patternFill patternType="solid">
        <fgColor rgb="FFF4CCCC"/>
        <bgColor rgb="FFF4CCCC"/>
      </patternFill>
    </fill>
    <fill>
      <patternFill patternType="solid">
        <fgColor rgb="FFD9EAD3"/>
        <bgColor rgb="FFD9EAD3"/>
      </patternFill>
    </fill>
    <fill>
      <patternFill patternType="solid">
        <fgColor rgb="FF5A3A00"/>
        <bgColor rgb="FF5A3A00"/>
      </patternFill>
    </fill>
    <fill>
      <patternFill patternType="solid">
        <fgColor rgb="FFFF9900"/>
        <bgColor rgb="FFFF9900"/>
      </patternFill>
    </fill>
    <fill>
      <patternFill patternType="solid">
        <fgColor rgb="FF000000"/>
        <bgColor rgb="FF000000"/>
      </patternFill>
    </fill>
    <fill>
      <patternFill patternType="solid">
        <fgColor rgb="FF38761D"/>
        <bgColor rgb="FF38761D"/>
      </patternFill>
    </fill>
    <fill>
      <patternFill patternType="solid">
        <fgColor rgb="FFB6D7A8"/>
        <bgColor rgb="FFB6D7A8"/>
      </patternFill>
    </fill>
    <fill>
      <patternFill patternType="solid">
        <fgColor rgb="FF3B3B3B"/>
        <bgColor rgb="FF3B3B3B"/>
      </patternFill>
    </fill>
    <fill xmlns:main="http://schemas.openxmlformats.org/spreadsheetml/2006/main">
      <main:patternFill patternType="solid">
        <main:fgColor rgb="FF1F4E78"/>
        <main:bgColor rgb="FF2E5C8A"/>
      </main:patternFill>
    </fill>
    <fill xmlns:main="http://schemas.openxmlformats.org/spreadsheetml/2006/main">
      <main:patternFill patternType="solid">
        <main:fgColor rgb="FF2E5C8A"/>
        <main:bgColor rgb="FF1F4E78"/>
      </main:patternFill>
    </fill>
    <fill xmlns:main="http://schemas.openxmlformats.org/spreadsheetml/2006/main">
      <main:patternFill patternType="solid">
        <main:fgColor rgb="FFF8CBCB"/>
        <main:bgColor rgb="FFFDEBC8"/>
      </main:patternFill>
    </fill>
    <fill xmlns:main="http://schemas.openxmlformats.org/spreadsheetml/2006/main">
      <main:patternFill patternType="solid">
        <main:fgColor rgb="FFFDEBC8"/>
        <main:bgColor rgb="FFF2F2F2"/>
      </main:patternFill>
    </fill>
    <fill xmlns:main="http://schemas.openxmlformats.org/spreadsheetml/2006/main">
      <main:patternFill patternType="solid">
        <main:fgColor rgb="FFDCEAD8"/>
        <main:bgColor rgb="FFD9E4F1"/>
      </main:patternFill>
    </fill>
    <fill xmlns:main="http://schemas.openxmlformats.org/spreadsheetml/2006/main">
      <main:patternFill patternType="solid">
        <main:fgColor rgb="FF999999"/>
        <main:bgColor rgb="FF999999"/>
      </main:patternFill>
    </fill>
    <fill xmlns:main="http://schemas.openxmlformats.org/spreadsheetml/2006/main">
      <main:patternFill patternType="solid">
        <main:fgColor rgb="FFD9E1F2"/>
        <main:bgColor rgb="FFD9E1F2"/>
      </main:patternFill>
    </fill>
    <fill xmlns:main="http://schemas.openxmlformats.org/spreadsheetml/2006/main">
      <main:patternFill patternType="solid">
        <main:fgColor rgb="FFE2EFDA"/>
        <main:bgColor rgb="FFE2EFDA"/>
      </main:patternFill>
    </fill>
    <fill xmlns:main="http://schemas.openxmlformats.org/spreadsheetml/2006/main">
      <main:patternFill patternType="solid">
        <main:fgColor rgb="FFFCE4D6"/>
        <main:bgColor rgb="FFFCE4D6"/>
      </main:patternFill>
    </fill>
    <fill xmlns:main="http://schemas.openxmlformats.org/spreadsheetml/2006/main">
      <main:patternFill patternType="solid">
        <main:fgColor rgb="FFEDEDED"/>
        <main:bgColor rgb="FFEDEDED"/>
      </main:patternFill>
    </fill>
    <fill xmlns:main="http://schemas.openxmlformats.org/spreadsheetml/2006/main">
      <main:patternFill patternType="solid">
        <main:fgColor rgb="FFD9B3FF"/>
        <main:bgColor rgb="FFD9B3FF"/>
      </main:patternFill>
    </fill>
    <fill xmlns:main="http://schemas.openxmlformats.org/spreadsheetml/2006/main">
      <main:patternFill patternType="solid">
        <main:fgColor rgb="FFFCE5CD"/>
        <main:bgColor rgb="FFFCE5CD"/>
      </main:patternFill>
    </fill>
    <fill xmlns:main="http://schemas.openxmlformats.org/spreadsheetml/2006/main">
      <main:patternFill patternType="solid">
        <main:fgColor rgb="FFFFF4CC"/>
        <main:bgColor rgb="FFFFF4CC"/>
      </main:patternFill>
    </fill>
    <fill xmlns:main="http://schemas.openxmlformats.org/spreadsheetml/2006/main">
      <main:patternFill patternType="solid">
        <main:fgColor rgb="FF9BC2E6"/>
        <main:bgColor rgb="FF9BC2E6"/>
      </main:patternFill>
    </fill>
    <fill xmlns:main="http://schemas.openxmlformats.org/spreadsheetml/2006/main">
      <main:patternFill patternType="solid">
        <main:fgColor rgb="FF980000"/>
        <main:bgColor rgb="FF980000"/>
      </main:patternFill>
    </fill>
    <fill xmlns:main="http://schemas.openxmlformats.org/spreadsheetml/2006/main">
      <main:patternFill patternType="solid">
        <main:fgColor rgb="FF0000FF"/>
        <main:bgColor rgb="FF0000FF"/>
      </main:patternFill>
    </fill>
    <fill xmlns:main="http://schemas.openxmlformats.org/spreadsheetml/2006/main">
      <main:patternFill patternType="solid">
        <main:fgColor rgb="FF1F3864"/>
        <main:bgColor rgb="FF1F3864"/>
      </main:patternFill>
    </fill>
    <fill xmlns:main="http://schemas.openxmlformats.org/spreadsheetml/2006/main">
      <main:patternFill patternType="solid">
        <main:fgColor rgb="FF4A86E8"/>
        <main:bgColor rgb="FF4A86E8"/>
      </main:patternFill>
    </fill>
  </fills>
  <borders count="31">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top/>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980000"/>
      </left>
      <right style="thin">
        <color rgb="FF980000"/>
      </right>
      <top style="thin">
        <color rgb="FF980000"/>
      </top>
      <bottom style="thin">
        <color rgb="FF980000"/>
      </bottom>
    </border>
    <border>
      <left style="thin">
        <color rgb="FF980000"/>
      </left>
      <top style="thin">
        <color rgb="FF980000"/>
      </top>
      <bottom style="thin">
        <color rgb="FF980000"/>
      </bottom>
    </border>
    <border>
      <top style="thin">
        <color rgb="FF980000"/>
      </top>
      <bottom style="thin">
        <color rgb="FF980000"/>
      </bottom>
    </border>
    <border>
      <right style="thin">
        <color rgb="FF980000"/>
      </right>
      <top style="thin">
        <color rgb="FF980000"/>
      </top>
      <bottom style="thin">
        <color rgb="FF980000"/>
      </bottom>
    </border>
    <border>
      <left style="thin">
        <color rgb="FF980000"/>
      </left>
      <right style="thin">
        <color rgb="FF980000"/>
      </right>
      <top style="thin">
        <color rgb="FF980000"/>
      </top>
    </border>
    <border>
      <left style="thin">
        <color rgb="FF980000"/>
      </left>
      <right style="thin">
        <color rgb="FF980000"/>
      </right>
      <bottom style="thin">
        <color rgb="FF980000"/>
      </bottom>
    </border>
    <border xmlns:main="http://schemas.openxmlformats.org/spreadsheetml/2006/main" diagonalUp="false" diagonalDown="false">
      <main:left/>
      <main:right/>
      <main:top/>
      <main:bottom/>
      <main:diagonal/>
    </border>
    <border xmlns:main="http://schemas.openxmlformats.org/spreadsheetml/2006/main" diagonalUp="false" diagonalDown="false">
      <main:left style="thin">
        <main:color rgb="FFBFBFBF"/>
      </main:left>
      <main:right style="thin">
        <main:color rgb="FFBFBFBF"/>
      </main:right>
      <main:top style="thin">
        <main:color rgb="FFBFBFBF"/>
      </main:top>
      <main:bottom style="thin">
        <main:color rgb="FFBFBFBF"/>
      </main:bottom>
      <main:diagonal/>
    </border>
    <border xmlns:main="http://schemas.openxmlformats.org/spreadsheetml/2006/main">
      <main:left style="thin">
        <main:color rgb="FF000000"/>
      </main:left>
      <main:top style="thin">
        <main:color rgb="FF000000"/>
      </main:top>
    </border>
    <border xmlns:main="http://schemas.openxmlformats.org/spreadsheetml/2006/main">
      <main:right style="thin">
        <main:color rgb="FF000000"/>
      </main:right>
      <main:top style="thin">
        <main:color rgb="FF000000"/>
      </main:top>
    </border>
    <border xmlns:main="http://schemas.openxmlformats.org/spreadsheetml/2006/main">
      <main:left style="thin">
        <main:color rgb="FF000000"/>
      </main:left>
      <main:right style="thin">
        <main:color rgb="FF000000"/>
      </main:right>
      <main:top style="thin">
        <main:color rgb="FF000000"/>
      </main:top>
    </border>
    <border xmlns:main="http://schemas.openxmlformats.org/spreadsheetml/2006/main">
      <main:left style="thin">
        <main:color rgb="FFBFBFBF"/>
      </main:left>
      <main:right style="thin">
        <main:color rgb="FFBFBFBF"/>
      </main:right>
      <main:bottom style="thin">
        <main:color rgb="FFBFBFBF"/>
      </main:bottom>
    </border>
    <border xmlns:main="http://schemas.openxmlformats.org/spreadsheetml/2006/main">
      <main:left style="thin">
        <main:color rgb="FFBFBFBF"/>
      </main:left>
      <main:right style="thin">
        <main:color rgb="FFBFBFBF"/>
      </main:right>
      <main:top style="thin">
        <main:color rgb="FFBFBFBF"/>
      </main:top>
    </border>
    <border xmlns:main="http://schemas.openxmlformats.org/spreadsheetml/2006/main">
      <main:left style="medium">
        <main:color rgb="FFFF0000"/>
      </main:left>
      <main:right style="medium">
        <main:color rgb="FFFF0000"/>
      </main:right>
      <main:top style="medium">
        <main:color rgb="FFFF0000"/>
      </main:top>
      <main:bottom style="medium">
        <main:color rgb="FFFF0000"/>
      </main:bottom>
    </border>
    <border xmlns:main="http://schemas.openxmlformats.org/spreadsheetml/2006/main">
      <main:left style="medium">
        <main:color rgb="FFFF0000"/>
      </main:left>
      <main:top style="medium">
        <main:color rgb="FFFF0000"/>
      </main:top>
      <main:bottom style="medium">
        <main:color rgb="FFFF0000"/>
      </main:bottom>
    </border>
    <border xmlns:main="http://schemas.openxmlformats.org/spreadsheetml/2006/main">
      <main:top style="medium">
        <main:color rgb="FFFF0000"/>
      </main:top>
      <main:bottom style="medium">
        <main:color rgb="FFFF0000"/>
      </main:bottom>
    </border>
    <border xmlns:main="http://schemas.openxmlformats.org/spreadsheetml/2006/main">
      <main:right style="medium">
        <main:color rgb="FFFF0000"/>
      </main:right>
      <main:top style="medium">
        <main:color rgb="FFFF0000"/>
      </main:top>
      <main:bottom style="medium">
        <main:color rgb="FFFF0000"/>
      </main:bottom>
    </border>
    <border xmlns:main="http://schemas.openxmlformats.org/spreadsheetml/2006/main">
      <main:left style="thin">
        <main:color rgb="FF000000"/>
      </main:left>
      <main:right style="thin">
        <main:color rgb="FF000000"/>
      </main:right>
      <main:top style="thin">
        <main:color rgb="FF000000"/>
      </main:top>
      <main:bottom style="thin">
        <main:color rgb="FF000000"/>
      </main:bottom>
    </border>
  </borders>
  <cellStyleXfs count="1">
    <xf borderId="0" fillId="0" fontId="0" numFmtId="0" applyAlignment="1" applyFont="1"/>
  </cellStyleXfs>
  <cellXfs count="32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horizontal="left" shrinkToFit="0" vertical="center" wrapText="0"/>
    </xf>
    <xf borderId="0" fillId="0" fontId="4" numFmtId="0" xfId="0" applyAlignment="1" applyFont="1">
      <alignment shrinkToFit="0" vertical="bottom" wrapText="0"/>
    </xf>
    <xf borderId="4" fillId="2" fontId="5" numFmtId="0" xfId="0" applyAlignment="1" applyBorder="1" applyFill="1" applyFont="1">
      <alignment horizontal="center" shrinkToFit="0" vertical="center" wrapText="1"/>
    </xf>
    <xf borderId="4" fillId="3" fontId="6" numFmtId="0" xfId="0" applyAlignment="1" applyBorder="1" applyFill="1" applyFont="1">
      <alignment horizontal="left" shrinkToFit="0" vertical="center" wrapText="1"/>
    </xf>
    <xf borderId="4" fillId="3" fontId="6" numFmtId="0" xfId="0" applyAlignment="1" applyBorder="1" applyFill="1" applyFont="1">
      <alignment horizontal="center" shrinkToFit="0" vertical="center" wrapText="1"/>
    </xf>
    <xf borderId="5" fillId="0" fontId="7" numFmtId="0" xfId="0" applyAlignment="1" applyBorder="1" applyFont="1">
      <alignment horizontal="left" shrinkToFit="0" vertical="top" wrapText="1"/>
    </xf>
    <xf borderId="4" fillId="0" fontId="7" numFmtId="0" xfId="0" applyAlignment="1" applyBorder="1" applyFont="1">
      <alignment horizontal="left" shrinkToFit="0" vertical="top" wrapText="1"/>
    </xf>
    <xf borderId="6" fillId="0" fontId="2" numFmtId="0" xfId="0" applyBorder="1" applyFont="1"/>
    <xf borderId="4" fillId="0" fontId="7" numFmtId="0" xfId="0" applyAlignment="1" applyBorder="1" applyFont="1">
      <alignment horizontal="center" shrinkToFit="0" vertical="center" wrapText="1"/>
    </xf>
    <xf borderId="7" fillId="0" fontId="2" numFmtId="0" xfId="0" applyBorder="1" applyFont="1"/>
    <xf borderId="0" fillId="0" fontId="8" numFmtId="0" xfId="0" applyAlignment="1" applyFont="1">
      <alignment horizontal="left" shrinkToFit="0" vertical="top" wrapText="1"/>
    </xf>
    <xf borderId="0" fillId="0" fontId="7" numFmtId="0" xfId="0" applyAlignment="1" applyFont="1">
      <alignment horizontal="left" shrinkToFit="0" vertical="top" wrapText="1"/>
    </xf>
    <xf borderId="4" fillId="0" fontId="7" numFmtId="0" xfId="0" applyAlignment="1" applyBorder="1" applyFont="1">
      <alignment horizontal="left" shrinkToFit="0" vertical="center" wrapText="1"/>
    </xf>
    <xf borderId="8" fillId="3" fontId="6" numFmtId="0" xfId="0" applyAlignment="1" applyBorder="1" applyFill="1" applyFont="1">
      <alignment horizontal="left" shrinkToFit="0" vertical="center" wrapText="1"/>
    </xf>
    <xf borderId="1" fillId="2" fontId="9" numFmtId="0" xfId="0" applyAlignment="1" applyBorder="1" applyFill="1" applyFont="1">
      <alignment horizontal="left" shrinkToFit="0" vertical="center" wrapText="0"/>
    </xf>
    <xf borderId="0" fillId="0" fontId="7" numFmtId="0" xfId="0" applyAlignment="1" applyFont="1">
      <alignment horizontal="center" shrinkToFit="0" vertical="center" wrapText="1"/>
    </xf>
    <xf borderId="4" fillId="4" fontId="5"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1"/>
    </xf>
    <xf borderId="0" fillId="0" fontId="6" numFmtId="0" xfId="0" applyAlignment="1" applyFont="1">
      <alignment horizontal="left" shrinkToFit="0" vertical="top" wrapText="1"/>
    </xf>
    <xf borderId="8" fillId="6" fontId="7" numFmtId="0" xfId="0" applyAlignment="1" applyBorder="1" applyFill="1" applyFont="1">
      <alignment horizontal="center" shrinkToFit="0" vertical="center" wrapText="1"/>
    </xf>
    <xf borderId="8" fillId="7" fontId="7" numFmtId="0" xfId="0" applyAlignment="1" applyBorder="1" applyFill="1" applyFont="1">
      <alignment horizontal="center" shrinkToFit="0" vertical="center" wrapText="1"/>
    </xf>
    <xf borderId="8" fillId="8" fontId="7" numFmtId="0" xfId="0" applyAlignment="1" applyBorder="1" applyFill="1" applyFont="1">
      <alignment horizontal="center" shrinkToFit="0" vertical="center" wrapText="1"/>
    </xf>
    <xf borderId="9" fillId="9" fontId="10" numFmtId="0" xfId="0" applyAlignment="1" applyBorder="1" applyFill="1" applyFont="1">
      <alignment shrinkToFit="0" vertical="center" wrapText="1"/>
    </xf>
    <xf borderId="10" fillId="9" fontId="10" numFmtId="0" xfId="0" applyAlignment="1" applyBorder="1" applyFill="1" applyFont="1">
      <alignment shrinkToFit="0" vertical="center" wrapText="1"/>
    </xf>
    <xf borderId="0" fillId="0" fontId="11" numFmtId="0" xfId="0" applyAlignment="1" applyFont="1">
      <alignment vertical="center"/>
    </xf>
    <xf borderId="0" fillId="10" fontId="12" numFmtId="10" xfId="0" applyAlignment="1" applyFill="1" applyFont="1" applyNumberFormat="1">
      <alignment horizontal="right" vertical="center"/>
    </xf>
    <xf borderId="0" fillId="10" fontId="13" numFmtId="0" xfId="0" applyAlignment="1" applyFill="1" applyFont="1">
      <alignment horizontal="center" vertical="center"/>
    </xf>
    <xf borderId="0" fillId="11" fontId="13" numFmtId="0" xfId="0" applyAlignment="1" applyFill="1" applyFont="1">
      <alignment horizontal="center" shrinkToFit="0" vertical="center" wrapText="1"/>
    </xf>
    <xf borderId="0" fillId="11" fontId="14" numFmtId="0" xfId="0" applyAlignment="1" applyFill="1" applyFont="1">
      <alignment shrinkToFit="0" vertical="center" wrapText="1"/>
    </xf>
    <xf borderId="0" fillId="0" fontId="11" numFmtId="0" xfId="0" applyAlignment="1" applyFont="1">
      <alignment vertical="center"/>
    </xf>
    <xf borderId="11" fillId="9" fontId="10" numFmtId="0" xfId="0" applyAlignment="1" applyBorder="1" applyFill="1" applyFont="1">
      <alignment shrinkToFit="0" vertical="center" wrapText="1"/>
    </xf>
    <xf borderId="0" fillId="12" fontId="12" numFmtId="10" xfId="0" applyAlignment="1" applyFill="1" applyFont="1" applyNumberFormat="1">
      <alignment horizontal="right" vertical="center"/>
    </xf>
    <xf borderId="0" fillId="12" fontId="13" numFmtId="0" xfId="0" applyAlignment="1" applyFill="1" applyFont="1">
      <alignment horizontal="center" shrinkToFit="0" vertical="center" wrapText="1"/>
    </xf>
    <xf borderId="0" fillId="12" fontId="13" numFmtId="0" xfId="0" applyAlignment="1" applyFill="1" applyFont="1">
      <alignment horizontal="center" vertical="center"/>
    </xf>
    <xf borderId="0" fillId="12" fontId="14" numFmtId="0" xfId="0" applyAlignment="1" applyFill="1" applyFont="1">
      <alignment shrinkToFit="0" vertical="center" wrapText="1"/>
    </xf>
    <xf borderId="9" fillId="9" fontId="10" numFmtId="0" xfId="0" applyAlignment="1" applyBorder="1" applyFill="1" applyFont="1">
      <alignment vertical="center"/>
    </xf>
    <xf borderId="0" fillId="11" fontId="12" numFmtId="10" xfId="0" applyAlignment="1" applyFill="1" applyFont="1" applyNumberFormat="1">
      <alignment horizontal="right" vertical="center"/>
    </xf>
    <xf borderId="0" fillId="13" fontId="15" numFmtId="10" xfId="0" applyAlignment="1" applyFill="1" applyFont="1" applyNumberFormat="1">
      <alignment horizontal="center" vertical="center"/>
    </xf>
    <xf borderId="0" fillId="13" fontId="16" numFmtId="0" xfId="0" applyAlignment="1" applyFill="1" applyFont="1">
      <alignment shrinkToFit="0" vertical="center" wrapText="1"/>
    </xf>
    <xf borderId="9" fillId="9" fontId="10" numFmtId="164" xfId="0" applyAlignment="1" applyBorder="1" applyFill="1" applyFont="1" applyNumberFormat="1">
      <alignment horizontal="center" shrinkToFit="0" vertical="center" wrapText="1"/>
    </xf>
    <xf borderId="0" fillId="0" fontId="11" numFmtId="165" xfId="0" applyAlignment="1" applyFont="1" applyNumberFormat="1">
      <alignment vertical="center"/>
    </xf>
    <xf borderId="9" fillId="9" fontId="10" numFmtId="14" xfId="0" applyAlignment="1" applyBorder="1" applyFill="1" applyFont="1" applyNumberFormat="1">
      <alignment horizontal="right" vertical="center"/>
    </xf>
    <xf borderId="12" fillId="13" fontId="17" numFmtId="0" xfId="0" applyAlignment="1" applyBorder="1" applyFill="1" applyFont="1">
      <alignment vertical="center"/>
    </xf>
    <xf borderId="10" fillId="0" fontId="2" numFmtId="0" xfId="0" applyBorder="1" applyFont="1"/>
    <xf borderId="0" fillId="13" fontId="11" numFmtId="0" xfId="0" applyAlignment="1" applyFill="1" applyFont="1">
      <alignment vertical="center"/>
    </xf>
    <xf borderId="0" fillId="13" fontId="11" numFmtId="165" xfId="0" applyAlignment="1" applyFill="1" applyFont="1" applyNumberFormat="1">
      <alignment vertical="center"/>
    </xf>
    <xf borderId="0" fillId="13" fontId="11" numFmtId="0" xfId="0" applyAlignment="1" applyFill="1" applyFont="1">
      <alignment vertical="center"/>
    </xf>
    <xf borderId="1" fillId="2" fontId="1" numFmtId="0" xfId="0" applyAlignment="1" applyBorder="1" applyFill="1" applyFont="1">
      <alignment vertical="center"/>
    </xf>
    <xf borderId="4" fillId="2" fontId="18" numFmtId="0" xfId="0" applyAlignment="1" applyBorder="1" applyFill="1" applyFont="1">
      <alignment horizontal="center" shrinkToFit="0" vertical="center" wrapText="1"/>
    </xf>
    <xf borderId="4" fillId="2" fontId="19" numFmtId="0" xfId="0" applyAlignment="1" applyBorder="1" applyFill="1" applyFont="1">
      <alignment horizontal="center" shrinkToFit="0" vertical="center" wrapText="1"/>
    </xf>
    <xf borderId="4" fillId="2" fontId="18" numFmtId="165" xfId="0" applyAlignment="1" applyBorder="1" applyFill="1" applyFont="1" applyNumberFormat="1">
      <alignment horizontal="center" shrinkToFit="0" vertical="center" wrapText="1"/>
    </xf>
    <xf borderId="1" fillId="14" fontId="20" numFmtId="0" xfId="0" applyAlignment="1" applyBorder="1" applyFill="1" applyFont="1">
      <alignment vertical="center"/>
    </xf>
    <xf borderId="1" fillId="15" fontId="21" numFmtId="0" xfId="0" applyAlignment="1" applyBorder="1" applyFill="1" applyFont="1">
      <alignment vertical="center"/>
    </xf>
    <xf borderId="4" fillId="0" fontId="11" numFmtId="0" xfId="0" applyAlignment="1" applyBorder="1" applyFont="1">
      <alignment shrinkToFit="0" vertical="center" wrapText="1"/>
    </xf>
    <xf borderId="4" fillId="0" fontId="22" numFmtId="0" xfId="0" applyAlignment="1" applyBorder="1" applyFont="1">
      <alignment shrinkToFit="0" vertical="center" wrapText="1"/>
    </xf>
    <xf borderId="4" fillId="0" fontId="11" numFmtId="0" xfId="0" applyAlignment="1" applyBorder="1" applyFont="1">
      <alignment vertical="center"/>
    </xf>
    <xf borderId="4" fillId="6" fontId="11" numFmtId="0" xfId="0" applyAlignment="1" applyBorder="1" applyFill="1" applyFont="1">
      <alignment horizontal="center" shrinkToFit="0" vertical="center" wrapText="1"/>
    </xf>
    <xf borderId="4" fillId="0" fontId="11" numFmtId="165" xfId="0" applyAlignment="1" applyBorder="1" applyFont="1" applyNumberFormat="1">
      <alignment shrinkToFit="0" vertical="center" wrapText="1"/>
    </xf>
    <xf borderId="4" fillId="7" fontId="11" numFmtId="0" xfId="0" applyAlignment="1" applyBorder="1" applyFill="1" applyFont="1">
      <alignment horizontal="center" shrinkToFit="0" vertical="center" wrapText="1"/>
    </xf>
    <xf borderId="4" fillId="8" fontId="11" numFmtId="0" xfId="0" applyAlignment="1" applyBorder="1" applyFill="1" applyFont="1">
      <alignment horizontal="center" shrinkToFit="0" vertical="center" wrapText="1"/>
    </xf>
    <xf borderId="4" fillId="0" fontId="11" numFmtId="166" xfId="0" applyAlignment="1" applyBorder="1" applyFont="1" applyNumberFormat="1">
      <alignment shrinkToFit="0" vertical="center" wrapText="1"/>
    </xf>
    <xf borderId="4" fillId="16" fontId="11" numFmtId="0" xfId="0" applyAlignment="1" applyBorder="1" applyFill="1" applyFont="1">
      <alignment shrinkToFit="0" vertical="center" wrapText="1"/>
    </xf>
    <xf borderId="4" fillId="17" fontId="11" numFmtId="0" xfId="0" applyAlignment="1" applyBorder="1" applyFill="1" applyFont="1">
      <alignment shrinkToFit="0" vertical="center" wrapText="1"/>
    </xf>
    <xf borderId="4" fillId="17" fontId="22" numFmtId="0" xfId="0" applyAlignment="1" applyBorder="1" applyFill="1" applyFont="1">
      <alignment shrinkToFit="0" vertical="center" wrapText="1"/>
    </xf>
    <xf borderId="4" fillId="17" fontId="11" numFmtId="0" xfId="0" applyAlignment="1" applyBorder="1" applyFill="1" applyFont="1">
      <alignment vertical="center"/>
    </xf>
    <xf borderId="4" fillId="0" fontId="11" numFmtId="165" xfId="0" applyAlignment="1" applyBorder="1" applyFont="1" applyNumberFormat="1">
      <alignment vertical="center"/>
    </xf>
    <xf borderId="4" fillId="17" fontId="11" numFmtId="166" xfId="0" applyAlignment="1" applyBorder="1" applyFill="1" applyFont="1" applyNumberFormat="1">
      <alignment vertical="center"/>
    </xf>
    <xf borderId="0" fillId="17" fontId="11" numFmtId="0" xfId="0" applyAlignment="1" applyFill="1" applyFont="1">
      <alignment vertical="center"/>
    </xf>
    <xf borderId="4" fillId="17" fontId="11" numFmtId="0" xfId="0" applyAlignment="1" applyBorder="1" applyFill="1" applyFont="1">
      <alignment horizontal="center" shrinkToFit="0" vertical="center" wrapText="1"/>
    </xf>
    <xf borderId="4" fillId="17" fontId="11" numFmtId="165" xfId="0" applyAlignment="1" applyBorder="1" applyFill="1" applyFont="1" applyNumberFormat="1">
      <alignment shrinkToFit="0" vertical="center" wrapText="1"/>
    </xf>
    <xf borderId="1" fillId="18" fontId="20" numFmtId="0" xfId="0" applyAlignment="1" applyBorder="1" applyFill="1" applyFont="1">
      <alignment vertical="center"/>
    </xf>
    <xf borderId="0" fillId="0" fontId="23" numFmtId="0" xfId="0" applyAlignment="1" applyFont="1">
      <alignment shrinkToFit="0" wrapText="1"/>
    </xf>
    <xf borderId="0" fillId="0" fontId="11" numFmtId="0" xfId="0" applyFont="1"/>
    <xf borderId="0" fillId="19" fontId="24" numFmtId="0" xfId="0" applyAlignment="1" applyFill="1" applyFont="1">
      <alignment shrinkToFit="0" wrapText="1"/>
    </xf>
    <xf borderId="0" fillId="19" fontId="24" numFmtId="0" xfId="0" applyAlignment="1" applyFill="1" applyFont="1">
      <alignment horizontal="center"/>
    </xf>
    <xf borderId="13" fillId="0" fontId="11" numFmtId="0" xfId="0" applyAlignment="1" applyBorder="1" applyFont="1">
      <alignment shrinkToFit="0" wrapText="1"/>
    </xf>
    <xf borderId="13" fillId="0" fontId="25" numFmtId="0" xfId="0" applyAlignment="1" applyBorder="1" applyFont="1">
      <alignment shrinkToFit="0" wrapText="1"/>
    </xf>
    <xf borderId="13" fillId="0" fontId="26" numFmtId="0" xfId="0" applyAlignment="1" applyBorder="1" applyFont="1">
      <alignment shrinkToFit="0" wrapText="1"/>
    </xf>
    <xf borderId="13" fillId="0" fontId="27" numFmtId="0" xfId="0" applyAlignment="1" applyBorder="1" applyFont="1">
      <alignment shrinkToFit="0" wrapText="1"/>
    </xf>
    <xf borderId="13" fillId="0" fontId="11" numFmtId="0" xfId="0" applyBorder="1" applyFont="1"/>
    <xf borderId="13" fillId="11" fontId="11" numFmtId="0" xfId="0" applyBorder="1" applyFill="1" applyFont="1"/>
    <xf borderId="0" fillId="20" fontId="11" numFmtId="0" xfId="0" applyFill="1" applyFont="1"/>
    <xf borderId="0" fillId="11" fontId="11" numFmtId="166" xfId="0" applyAlignment="1" applyFill="1" applyFont="1" applyNumberFormat="1">
      <alignment horizontal="right"/>
    </xf>
    <xf borderId="14" fillId="10" fontId="28" numFmtId="0" xfId="0" applyAlignment="1" applyBorder="1" applyFill="1" applyFont="1">
      <alignment shrinkToFit="0" wrapText="1"/>
    </xf>
    <xf borderId="15" fillId="0" fontId="2" numFmtId="0" xfId="0" applyBorder="1" applyFont="1"/>
    <xf borderId="16" fillId="0" fontId="2" numFmtId="0" xfId="0" applyBorder="1" applyFont="1"/>
    <xf borderId="0" fillId="10" fontId="11" numFmtId="0" xfId="0" applyFill="1" applyFont="1"/>
    <xf borderId="13" fillId="10" fontId="29" numFmtId="0" xfId="0" applyBorder="1" applyFill="1" applyFont="1"/>
    <xf borderId="0" fillId="10" fontId="29" numFmtId="166" xfId="0" applyAlignment="1" applyFill="1" applyFont="1" applyNumberFormat="1">
      <alignment horizontal="right"/>
    </xf>
    <xf borderId="0" fillId="0" fontId="11" numFmtId="0" xfId="0" applyAlignment="1" applyFont="1">
      <alignment shrinkToFit="0" wrapText="1"/>
    </xf>
    <xf borderId="14" fillId="21" fontId="28" numFmtId="0" xfId="0" applyBorder="1" applyFill="1" applyFont="1"/>
    <xf borderId="15" fillId="21" fontId="11" numFmtId="0" xfId="0" applyBorder="1" applyFill="1" applyFont="1"/>
    <xf borderId="13" fillId="21" fontId="29" numFmtId="0" xfId="0" applyAlignment="1" applyBorder="1" applyFill="1" applyFont="1">
      <alignment shrinkToFit="0" wrapText="1"/>
    </xf>
    <xf borderId="13" fillId="21" fontId="11" numFmtId="0" xfId="0" applyBorder="1" applyFill="1" applyFont="1"/>
    <xf borderId="13" fillId="21" fontId="29" numFmtId="0" xfId="0" applyBorder="1" applyFill="1" applyFont="1"/>
    <xf borderId="13" fillId="11" fontId="11" numFmtId="166" xfId="0" applyAlignment="1" applyBorder="1" applyFill="1" applyFont="1" applyNumberFormat="1">
      <alignment horizontal="right"/>
    </xf>
    <xf borderId="13" fillId="17" fontId="11" numFmtId="0" xfId="0" applyAlignment="1" applyBorder="1" applyFill="1" applyFont="1">
      <alignment shrinkToFit="0" wrapText="1"/>
    </xf>
    <xf borderId="13" fillId="17" fontId="27" numFmtId="0" xfId="0" applyAlignment="1" applyBorder="1" applyFill="1" applyFont="1">
      <alignment shrinkToFit="0" wrapText="1"/>
    </xf>
    <xf borderId="13" fillId="17" fontId="11" numFmtId="0" xfId="0" applyBorder="1" applyFill="1" applyFont="1"/>
    <xf borderId="13" fillId="17" fontId="11" numFmtId="166" xfId="0" applyAlignment="1" applyBorder="1" applyFill="1" applyFont="1" applyNumberFormat="1">
      <alignment horizontal="right"/>
    </xf>
    <xf borderId="13" fillId="22" fontId="11" numFmtId="0" xfId="0" applyAlignment="1" applyBorder="1" applyFill="1" applyFont="1">
      <alignment shrinkToFit="0" wrapText="1"/>
    </xf>
    <xf borderId="13" fillId="22" fontId="27" numFmtId="0" xfId="0" applyAlignment="1" applyBorder="1" applyFill="1" applyFont="1">
      <alignment shrinkToFit="0" wrapText="1"/>
    </xf>
    <xf borderId="13" fillId="22" fontId="11" numFmtId="0" xfId="0" applyBorder="1" applyFill="1" applyFont="1"/>
    <xf borderId="13" fillId="22" fontId="11" numFmtId="166" xfId="0" applyBorder="1" applyFill="1" applyFont="1" applyNumberFormat="1"/>
    <xf borderId="17" fillId="0" fontId="11" numFmtId="0" xfId="0" applyAlignment="1" applyBorder="1" applyFont="1">
      <alignment shrinkToFit="0" wrapText="1"/>
    </xf>
    <xf borderId="14" fillId="17" fontId="11" numFmtId="0" xfId="0" applyAlignment="1" applyBorder="1" applyFill="1" applyFont="1">
      <alignment shrinkToFit="0" wrapText="1"/>
    </xf>
    <xf borderId="0" fillId="17" fontId="11" numFmtId="0" xfId="0" applyAlignment="1" applyFill="1" applyFont="1">
      <alignment shrinkToFit="0" wrapText="1"/>
    </xf>
    <xf borderId="16" fillId="17" fontId="11" numFmtId="0" xfId="0" applyAlignment="1" applyBorder="1" applyFill="1" applyFont="1">
      <alignment shrinkToFit="0" wrapText="1"/>
    </xf>
    <xf borderId="0" fillId="17" fontId="30" numFmtId="0" xfId="0" applyAlignment="1" applyFill="1" applyFont="1">
      <alignment shrinkToFit="0" wrapText="1"/>
    </xf>
    <xf borderId="13" fillId="17" fontId="11" numFmtId="166" xfId="0" applyBorder="1" applyFill="1" applyFont="1" applyNumberFormat="1"/>
    <xf borderId="14" fillId="17" fontId="11" numFmtId="0" xfId="0" applyBorder="1" applyFill="1" applyFont="1"/>
    <xf borderId="1" fillId="23" fontId="20" numFmtId="0" xfId="0" applyAlignment="1" applyBorder="1" applyFill="1" applyFont="1">
      <alignment vertical="center"/>
    </xf>
    <xf borderId="0" fillId="17" fontId="11" numFmtId="0" xfId="0" applyFill="1" applyFont="1"/>
    <xf borderId="18" fillId="0" fontId="11" numFmtId="0" xfId="0" applyAlignment="1" applyBorder="1" applyFont="1">
      <alignment shrinkToFit="0" wrapText="1"/>
    </xf>
    <xf borderId="0" fillId="11" fontId="11" numFmtId="0" xfId="0" applyFill="1" applyFont="1"/>
    <xf borderId="0" fillId="11" fontId="11" numFmtId="166" xfId="0" applyFill="1" applyFont="1" applyNumberFormat="1"/>
    <xf borderId="1" fillId="15" fontId="21" numFmtId="0" xfId="0" applyAlignment="1" applyBorder="1" applyFill="1" applyFont="1">
      <alignment vertical="center"/>
    </xf>
    <xf borderId="4" fillId="0" fontId="11" numFmtId="0" xfId="0" applyAlignment="1" applyBorder="1" applyFont="1">
      <alignment shrinkToFit="0" vertical="center" wrapText="1"/>
    </xf>
    <xf borderId="4" fillId="0" fontId="22" numFmtId="0" xfId="0" applyAlignment="1" applyBorder="1" applyFont="1">
      <alignment shrinkToFit="0" vertical="center" wrapText="1"/>
    </xf>
    <xf borderId="4" fillId="0" fontId="11" numFmtId="0" xfId="0" applyAlignment="1" applyBorder="1" applyFont="1">
      <alignment vertical="center"/>
    </xf>
    <xf borderId="4" fillId="7" fontId="11" numFmtId="0" xfId="0" applyAlignment="1" applyBorder="1" applyFill="1" applyFont="1">
      <alignment horizontal="center" shrinkToFit="0" vertical="center" wrapText="1"/>
    </xf>
    <xf borderId="4" fillId="8" fontId="11" numFmtId="0" xfId="0" applyAlignment="1" applyBorder="1" applyFill="1" applyFont="1">
      <alignment horizontal="center" shrinkToFit="0" vertical="center" wrapText="1"/>
    </xf>
    <xf borderId="4" fillId="6" fontId="11" numFmtId="0" xfId="0" applyAlignment="1" applyBorder="1" applyFill="1" applyFont="1">
      <alignment horizontal="center" shrinkToFit="0" vertical="center" wrapText="1"/>
    </xf>
    <xf borderId="0" fillId="0" fontId="31" numFmtId="0" xfId="0" applyAlignment="1" applyFont="1">
      <alignment vertical="center"/>
    </xf>
    <xf xmlns:main="http://schemas.openxmlformats.org/spreadsheetml/2006/main" borderId="0" fillId="2" fontId="32" numFmtId="0" xfId="0" applyAlignment="1" applyBorder="true" applyFill="true" applyFont="true" applyNumberFormat="true">
      <main:alignment horizontal="left" shrinkToFit="0" vertical="center" wrapText="0"/>
    </xf>
    <xf borderId="0" fillId="0" fontId="33" numFmtId="0" xfId="0" applyBorder="true" applyFont="true" applyFill="true" applyNumberFormat="true"/>
    <xf borderId="0" fillId="0" fontId="34" numFmtId="0" xfId="0" applyBorder="true" applyFont="true" applyFill="true" applyNumberFormat="true"/>
    <xf xmlns:main="http://schemas.openxmlformats.org/spreadsheetml/2006/main" borderId="0" fillId="0" fontId="35" numFmtId="0" xfId="0" applyAlignment="1" applyFont="true" applyFill="true" applyBorder="true" applyNumberFormat="true">
      <main:alignment vertical="center"/>
    </xf>
    <xf xmlns:main="http://schemas.openxmlformats.org/spreadsheetml/2006/main" borderId="4" fillId="2" fontId="36" numFmtId="0" xfId="0" applyAlignment="1" applyBorder="true" applyFill="true" applyFont="true" applyNumberFormat="true">
      <main:alignment horizontal="center" shrinkToFit="0" vertical="center" wrapText="1"/>
    </xf>
    <xf xmlns:main="http://schemas.openxmlformats.org/spreadsheetml/2006/main" borderId="0" fillId="15" fontId="37" numFmtId="0" xfId="0" applyAlignment="1" applyBorder="true" applyFill="true" applyFont="true" applyNumberFormat="true">
      <main:alignment horizontal="left" shrinkToFit="0" vertical="center" wrapText="0"/>
    </xf>
    <xf xmlns:main="http://schemas.openxmlformats.org/spreadsheetml/2006/main" borderId="4" fillId="0" fontId="38" numFmtId="0" xfId="0" applyAlignment="1" applyBorder="true" applyFont="true" applyFill="true" applyNumberFormat="true">
      <main:alignment horizontal="center" shrinkToFit="0" vertical="center" wrapText="1"/>
    </xf>
    <xf xmlns:main="http://schemas.openxmlformats.org/spreadsheetml/2006/main" borderId="4" fillId="0" fontId="39" numFmtId="0" xfId="0" applyAlignment="1" applyBorder="true" applyFont="true" applyFill="true" applyNumberFormat="true">
      <main:alignment horizontal="left" shrinkToFit="0" vertical="center" wrapText="1"/>
    </xf>
    <xf xmlns:main="http://schemas.openxmlformats.org/spreadsheetml/2006/main" borderId="4" fillId="0" fontId="40" numFmtId="0" xfId="0" applyAlignment="1" applyBorder="true" applyFont="true" applyFill="true" applyNumberFormat="true">
      <main:alignment horizontal="left" readingOrder="0" shrinkToFit="0" vertical="center" wrapText="1"/>
    </xf>
    <xf xmlns:main="http://schemas.openxmlformats.org/spreadsheetml/2006/main" borderId="4" fillId="6" fontId="41" numFmtId="0" xfId="0" applyAlignment="1" applyBorder="true" applyFill="true" applyFont="true" applyNumberFormat="true">
      <main:alignment horizontal="center" shrinkToFit="0" vertical="center" wrapText="1"/>
    </xf>
    <xf xmlns:main="http://schemas.openxmlformats.org/spreadsheetml/2006/main" borderId="4" fillId="0" fontId="42" numFmtId="165" xfId="0" applyAlignment="1" applyBorder="true" applyFont="true" applyNumberFormat="true" applyFill="true">
      <main:alignment horizontal="center" shrinkToFit="0" vertical="center" wrapText="1"/>
    </xf>
    <xf xmlns:main="http://schemas.openxmlformats.org/spreadsheetml/2006/main" borderId="4" fillId="7" fontId="43" numFmtId="0" xfId="0" applyAlignment="1" applyBorder="true" applyFill="true" applyFont="true" applyNumberFormat="true">
      <main:alignment horizontal="center" shrinkToFit="0" vertical="center" wrapText="1"/>
    </xf>
    <xf xmlns:main="http://schemas.openxmlformats.org/spreadsheetml/2006/main" borderId="4" fillId="8" fontId="44" numFmtId="0" xfId="0" applyAlignment="1" applyBorder="true" applyFill="true" applyFont="true" applyNumberFormat="true">
      <main:alignment horizontal="center" shrinkToFit="0" vertical="center" wrapText="1"/>
    </xf>
    <xf xmlns:main="http://schemas.openxmlformats.org/spreadsheetml/2006/main" borderId="4" fillId="0" fontId="45" numFmtId="0" xfId="0" applyAlignment="1" applyBorder="true" applyFont="true" applyFill="true" applyNumberFormat="true">
      <main:alignment horizontal="left" shrinkToFit="0" vertical="center" wrapText="1"/>
    </xf>
    <xf xmlns:main="http://schemas.openxmlformats.org/spreadsheetml/2006/main" numFmtId="0" fontId="46" fillId="24" borderId="19" xfId="0" applyFont="true" applyBorder="true" applyAlignment="true" applyProtection="false" applyFill="true" applyNumberFormat="true">
      <main:alignment horizontal="left" vertical="center" textRotation="0" wrapText="false" indent="1" shrinkToFit="false"/>
      <main:protection locked="true" hidden="false"/>
    </xf>
    <xf xmlns:main="http://schemas.openxmlformats.org/spreadsheetml/2006/main" numFmtId="0" fontId="47" fillId="24"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48" fillId="25" borderId="19" xfId="0" applyFont="true" applyBorder="true" applyAlignment="true" applyProtection="false" applyFill="true" applyNumberFormat="true">
      <main:alignment horizontal="left" vertical="center" textRotation="0" wrapText="false" indent="1" shrinkToFit="false"/>
      <main:protection locked="true" hidden="false"/>
    </xf>
    <xf xmlns:main="http://schemas.openxmlformats.org/spreadsheetml/2006/main" numFmtId="0" fontId="49" fillId="0"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50" fillId="0" borderId="20" xfId="0" applyFont="true" applyBorder="true" applyAlignment="true" applyProtection="false" applyFill="true" applyNumberFormat="true">
      <main:alignment horizontal="left" vertical="top" textRotation="0" wrapText="true" indent="0" shrinkToFit="false"/>
      <main:protection locked="true" hidden="false"/>
    </xf>
    <xf xmlns:main="http://schemas.openxmlformats.org/spreadsheetml/2006/main" numFmtId="0" fontId="51" fillId="26"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165" fontId="52" fillId="0"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53" fillId="0"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54" fillId="27"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55" fillId="28" borderId="20" xfId="0" applyFont="true" applyBorder="true" applyAlignment="true" applyProtection="false" applyFill="true" applyNumberFormat="true">
      <main:alignment horizontal="center" vertical="center" textRotation="0" wrapText="true" indent="0" shrinkToFit="false"/>
      <main:protection locked="true" hidden="false"/>
    </xf>
    <xf xmlns:main="http://schemas.openxmlformats.org/spreadsheetml/2006/main" numFmtId="0" fontId="56" fillId="0" borderId="20" xfId="0" applyFont="true" applyBorder="true" applyAlignment="true" applyProtection="false" applyFill="true" applyNumberFormat="true">
      <main:alignment horizontal="left" vertical="top" textRotation="0" wrapText="true" indent="0" shrinkToFit="false"/>
      <main:protection locked="true" hidden="false"/>
    </xf>
    <xf xmlns:main="http://schemas.openxmlformats.org/spreadsheetml/2006/main" borderId="9" fillId="29" fontId="57" numFmtId="0" xfId="0" applyAlignment="1" applyBorder="true" applyFill="true" applyFont="true" applyNumberFormat="true">
      <main:alignment shrinkToFit="0" vertical="center" wrapText="1"/>
    </xf>
    <xf xmlns:main="http://schemas.openxmlformats.org/spreadsheetml/2006/main" borderId="10" fillId="29" fontId="58" numFmtId="0" xfId="0" applyAlignment="1" applyBorder="true" applyFill="true" applyFont="true" applyNumberFormat="true">
      <main:alignment shrinkToFit="0" vertical="center" wrapText="1"/>
    </xf>
    <xf xmlns:main="http://schemas.openxmlformats.org/spreadsheetml/2006/main" borderId="0" fillId="0" fontId="59" numFmtId="0" xfId="0" applyAlignment="1" applyFont="true" applyFill="true" applyBorder="true" applyNumberFormat="true">
      <main:alignment vertical="center"/>
    </xf>
    <xf xmlns:main="http://schemas.openxmlformats.org/spreadsheetml/2006/main" borderId="0" fillId="10" fontId="60" numFmtId="10" xfId="0" applyAlignment="1" applyFill="true" applyFont="true" applyNumberFormat="true" applyBorder="true">
      <main:alignment horizontal="right" shrinkToFit="0" vertical="center" wrapText="1"/>
    </xf>
    <xf xmlns:main="http://schemas.openxmlformats.org/spreadsheetml/2006/main" borderId="0" fillId="10" fontId="61" numFmtId="0" xfId="0" applyAlignment="1" applyFill="true" applyFont="true" applyBorder="true" applyNumberFormat="true">
      <main:alignment shrinkToFit="0" vertical="center" wrapText="1"/>
    </xf>
    <xf xmlns:main="http://schemas.openxmlformats.org/spreadsheetml/2006/main" borderId="0" fillId="11" fontId="62" numFmtId="0" xfId="0" applyAlignment="1" applyFill="true" applyFont="true" applyBorder="true" applyNumberFormat="true">
      <main:alignment horizontal="center" shrinkToFit="0" vertical="center" wrapText="1"/>
    </xf>
    <xf xmlns:main="http://schemas.openxmlformats.org/spreadsheetml/2006/main" borderId="0" fillId="11" fontId="63" numFmtId="0" xfId="0" applyAlignment="1" applyFill="true" applyFont="true" applyBorder="true" applyNumberFormat="true">
      <main:alignment shrinkToFit="0" vertical="center" wrapText="1"/>
    </xf>
    <xf xmlns:main="http://schemas.openxmlformats.org/spreadsheetml/2006/main" borderId="11" fillId="29" fontId="64" numFmtId="0" xfId="0" applyAlignment="1" applyBorder="true" applyFill="true" applyFont="true" applyNumberFormat="true">
      <main:alignment shrinkToFit="0" vertical="center" wrapText="1"/>
    </xf>
    <xf xmlns:main="http://schemas.openxmlformats.org/spreadsheetml/2006/main" borderId="9" fillId="29" fontId="65" numFmtId="0" xfId="0" applyAlignment="1" applyBorder="true" applyFill="true" applyFont="true" applyNumberFormat="true">
      <main:alignment shrinkToFit="0" vertical="center" wrapText="1"/>
    </xf>
    <xf xmlns:main="http://schemas.openxmlformats.org/spreadsheetml/2006/main" borderId="0" fillId="12" fontId="66" numFmtId="10" xfId="0" applyAlignment="1" applyFill="true" applyFont="true" applyNumberFormat="true" applyBorder="true">
      <main:alignment horizontal="right" shrinkToFit="0" vertical="center" wrapText="1"/>
    </xf>
    <xf xmlns:main="http://schemas.openxmlformats.org/spreadsheetml/2006/main" borderId="0" fillId="12" fontId="67" numFmtId="0" xfId="0" applyAlignment="1" applyFill="true" applyFont="true" applyBorder="true" applyNumberFormat="true">
      <main:alignment shrinkToFit="0" vertical="center" wrapText="1"/>
    </xf>
    <xf xmlns:main="http://schemas.openxmlformats.org/spreadsheetml/2006/main" borderId="0" fillId="12" fontId="68" numFmtId="0" xfId="0" applyAlignment="1" applyFill="true" applyFont="true" applyBorder="true" applyNumberFormat="true">
      <main:alignment horizontal="center" shrinkToFit="0" vertical="center" wrapText="1"/>
    </xf>
    <xf xmlns:main="http://schemas.openxmlformats.org/spreadsheetml/2006/main" borderId="0" fillId="12" fontId="69" numFmtId="0" xfId="0" applyAlignment="1" applyFill="true" applyFont="true" applyBorder="true" applyNumberFormat="true">
      <main:alignment shrinkToFit="0" vertical="center" wrapText="1"/>
    </xf>
    <xf xmlns:main="http://schemas.openxmlformats.org/spreadsheetml/2006/main" borderId="0" fillId="11" fontId="70" numFmtId="10" xfId="0" applyAlignment="1" applyFill="true" applyFont="true" applyNumberFormat="true" applyBorder="true">
      <main:alignment horizontal="right" shrinkToFit="0" vertical="center" wrapText="1"/>
    </xf>
    <xf xmlns:main="http://schemas.openxmlformats.org/spreadsheetml/2006/main" borderId="0" fillId="13" fontId="71" numFmtId="10" xfId="0" applyAlignment="1" applyFill="true" applyFont="true" applyNumberFormat="true" applyBorder="true">
      <main:alignment horizontal="right" shrinkToFit="0" vertical="center" wrapText="1"/>
    </xf>
    <xf xmlns:main="http://schemas.openxmlformats.org/spreadsheetml/2006/main" borderId="0" fillId="13" fontId="72" numFmtId="0" xfId="0" applyAlignment="1" applyFill="true" applyFont="true" applyBorder="true" applyNumberFormat="true">
      <main:alignment shrinkToFit="0" vertical="center" wrapText="1"/>
    </xf>
    <xf xmlns:main="http://schemas.openxmlformats.org/spreadsheetml/2006/main" borderId="9" fillId="29" fontId="73" numFmtId="0" xfId="0" applyAlignment="1" applyBorder="true" applyFill="true" applyFont="true" applyNumberFormat="true">
      <main:alignment horizontal="right" shrinkToFit="0" vertical="center" wrapText="1"/>
    </xf>
    <xf xmlns:main="http://schemas.openxmlformats.org/spreadsheetml/2006/main" borderId="9" fillId="29" fontId="74" numFmtId="0" xfId="0" applyAlignment="1" applyBorder="true" applyFill="true" applyFont="true" applyNumberFormat="true">
      <main:alignment vertical="center"/>
    </xf>
    <xf xmlns:main="http://schemas.openxmlformats.org/spreadsheetml/2006/main" borderId="21" fillId="13" fontId="75" numFmtId="0" xfId="0" applyAlignment="1" applyBorder="true" applyFill="true" applyFont="true" applyNumberFormat="true">
      <main:alignment shrinkToFit="0" vertical="center" wrapText="1"/>
    </xf>
    <xf borderId="22" fillId="0" fontId="76" numFmtId="0" xfId="0" applyBorder="true" applyFont="true" applyFill="true" applyNumberFormat="true"/>
    <xf xmlns:main="http://schemas.openxmlformats.org/spreadsheetml/2006/main" borderId="0" fillId="13" fontId="77" numFmtId="0" xfId="0" applyAlignment="1" applyFill="true" applyFont="true" applyBorder="true" applyNumberFormat="true">
      <main:alignment vertical="center"/>
    </xf>
    <xf xmlns:main="http://schemas.openxmlformats.org/spreadsheetml/2006/main" borderId="23" fillId="19" fontId="78" numFmtId="0" xfId="0" applyAlignment="1" applyBorder="true" applyFill="true" applyFont="true" applyNumberFormat="true">
      <main:alignment shrinkToFit="0" vertical="center" wrapText="1"/>
    </xf>
    <xf xmlns:main="http://schemas.openxmlformats.org/spreadsheetml/2006/main" borderId="0" fillId="19" fontId="79" numFmtId="0" xfId="0" applyAlignment="1" applyFill="true" applyFont="true" applyBorder="true" applyNumberFormat="true">
      <main:alignment vertical="center"/>
    </xf>
    <xf xmlns:main="http://schemas.openxmlformats.org/spreadsheetml/2006/main" borderId="5" fillId="30" fontId="80" numFmtId="0" xfId="0" applyAlignment="1" applyBorder="true" applyFill="true" applyFont="true" applyNumberFormat="true">
      <main:alignment vertical="center"/>
    </xf>
    <xf xmlns:main="http://schemas.openxmlformats.org/spreadsheetml/2006/main" borderId="6" fillId="30" fontId="81" numFmtId="0" xfId="0" applyAlignment="1" applyBorder="true" applyFill="true" applyFont="true" applyNumberFormat="true">
      <main:alignment vertical="center"/>
    </xf>
    <xf xmlns:main="http://schemas.openxmlformats.org/spreadsheetml/2006/main" borderId="7" fillId="30" fontId="82" numFmtId="0" xfId="0" applyAlignment="1" applyBorder="true" applyFill="true" applyFont="true" applyNumberFormat="true">
      <main:alignment vertical="center"/>
    </xf>
    <xf xmlns:main="http://schemas.openxmlformats.org/spreadsheetml/2006/main" borderId="5" fillId="31" fontId="83" numFmtId="0" xfId="0" applyAlignment="1" applyBorder="true" applyFill="true" applyFont="true" applyNumberFormat="true">
      <main:alignment vertical="center"/>
    </xf>
    <xf xmlns:main="http://schemas.openxmlformats.org/spreadsheetml/2006/main" borderId="6" fillId="31" fontId="84" numFmtId="0" xfId="0" applyAlignment="1" applyBorder="true" applyFill="true" applyFont="true" applyNumberFormat="true">
      <main:alignment vertical="center"/>
    </xf>
    <xf xmlns:main="http://schemas.openxmlformats.org/spreadsheetml/2006/main" borderId="7" fillId="31" fontId="85" numFmtId="0" xfId="0" applyAlignment="1" applyBorder="true" applyFill="true" applyFont="true" applyNumberFormat="true">
      <main:alignment vertical="center"/>
    </xf>
    <xf xmlns:main="http://schemas.openxmlformats.org/spreadsheetml/2006/main" borderId="0" fillId="0" fontId="86" numFmtId="167" xfId="0" applyAlignment="1" applyFont="true" applyNumberFormat="true" applyFill="true" applyBorder="true">
      <main:alignment vertical="center"/>
    </xf>
    <xf xmlns:main="http://schemas.openxmlformats.org/spreadsheetml/2006/main" borderId="4" fillId="0" fontId="87" numFmtId="0" xfId="0" applyAlignment="1" applyBorder="true" applyFont="true" applyFill="true" applyNumberFormat="true">
      <main:alignment shrinkToFit="0" vertical="center" wrapText="1"/>
    </xf>
    <xf xmlns:main="http://schemas.openxmlformats.org/spreadsheetml/2006/main" borderId="4" fillId="0" fontId="88" numFmtId="0" xfId="0" applyAlignment="1" applyBorder="true" applyFont="true" applyFill="true" applyNumberFormat="true">
      <main:alignment shrinkToFit="0" vertical="center" wrapText="1"/>
    </xf>
    <xf xmlns:main="http://schemas.openxmlformats.org/spreadsheetml/2006/main" borderId="0" fillId="0" fontId="89" numFmtId="0" xfId="0" applyAlignment="1" applyFont="true" applyFill="true" applyBorder="true" applyNumberFormat="true">
      <main:alignment shrinkToFit="0" vertical="center" wrapText="1"/>
    </xf>
    <xf xmlns:main="http://schemas.openxmlformats.org/spreadsheetml/2006/main" borderId="0" fillId="0" fontId="90" numFmtId="0" xfId="0" applyAlignment="1" applyFont="true" applyFill="true" applyBorder="true" applyNumberFormat="true">
      <main:alignment horizontal="center" shrinkToFit="0" vertical="center" wrapText="1"/>
    </xf>
    <xf xmlns:main="http://schemas.openxmlformats.org/spreadsheetml/2006/main" borderId="0" fillId="0" fontId="91" numFmtId="167" xfId="0" applyAlignment="1" applyFont="true" applyNumberFormat="true" applyFill="true" applyBorder="true">
      <main:alignment horizontal="right" shrinkToFit="0" vertical="center" wrapText="1"/>
    </xf>
    <xf xmlns:main="http://schemas.openxmlformats.org/spreadsheetml/2006/main" borderId="0" fillId="0" fontId="92" numFmtId="0" xfId="0" applyAlignment="1" applyFont="true" applyFill="true" applyBorder="true" applyNumberFormat="true">
      <main:alignment shrinkToFit="0" vertical="center" wrapText="1"/>
    </xf>
    <xf xmlns:main="http://schemas.openxmlformats.org/spreadsheetml/2006/main" borderId="4" fillId="0" fontId="93" numFmtId="0" xfId="0" applyAlignment="1" applyBorder="true" applyFont="true" applyFill="true" applyNumberFormat="true">
      <main:alignment vertical="center"/>
    </xf>
    <xf xmlns:main="http://schemas.openxmlformats.org/spreadsheetml/2006/main" borderId="4" fillId="0" fontId="94" numFmtId="0" xfId="0" applyAlignment="1" applyBorder="true" applyFont="true" applyFill="true" applyNumberFormat="true">
      <main:alignment shrinkToFit="0" vertical="center" wrapText="1"/>
    </xf>
    <xf xmlns:main="http://schemas.openxmlformats.org/spreadsheetml/2006/main" borderId="5" fillId="32" fontId="95" numFmtId="0" xfId="0" applyAlignment="1" applyBorder="true" applyFill="true" applyFont="true" applyNumberFormat="true">
      <main:alignment vertical="center"/>
    </xf>
    <xf xmlns:main="http://schemas.openxmlformats.org/spreadsheetml/2006/main" borderId="6" fillId="32" fontId="96" numFmtId="0" xfId="0" applyAlignment="1" applyBorder="true" applyFill="true" applyFont="true" applyNumberFormat="true">
      <main:alignment vertical="center"/>
    </xf>
    <xf xmlns:main="http://schemas.openxmlformats.org/spreadsheetml/2006/main" borderId="7" fillId="32" fontId="97" numFmtId="0" xfId="0" applyAlignment="1" applyBorder="true" applyFill="true" applyFont="true" applyNumberFormat="true">
      <main:alignment vertical="center"/>
    </xf>
    <xf xmlns:main="http://schemas.openxmlformats.org/spreadsheetml/2006/main" borderId="5" fillId="33" fontId="98" numFmtId="0" xfId="0" applyAlignment="1" applyBorder="true" applyFill="true" applyFont="true" applyNumberFormat="true">
      <main:alignment vertical="center"/>
    </xf>
    <xf xmlns:main="http://schemas.openxmlformats.org/spreadsheetml/2006/main" borderId="6" fillId="33" fontId="99" numFmtId="0" xfId="0" applyAlignment="1" applyBorder="true" applyFill="true" applyFont="true" applyNumberFormat="true">
      <main:alignment vertical="center"/>
    </xf>
    <xf xmlns:main="http://schemas.openxmlformats.org/spreadsheetml/2006/main" borderId="7" fillId="33" fontId="100" numFmtId="0" xfId="0" applyAlignment="1" applyBorder="true" applyFill="true" applyFont="true" applyNumberFormat="true">
      <main:alignment vertical="center"/>
    </xf>
    <xf xmlns:main="http://schemas.openxmlformats.org/spreadsheetml/2006/main" borderId="4" fillId="34" fontId="101" numFmtId="0" xfId="0" applyAlignment="1" applyBorder="true" applyFill="true" applyFont="true" applyNumberFormat="true">
      <main:alignment shrinkToFit="0" vertical="center" wrapText="1"/>
    </xf>
    <xf xmlns:main="http://schemas.openxmlformats.org/spreadsheetml/2006/main" borderId="4" fillId="35" fontId="102" numFmtId="0" xfId="0" applyAlignment="1" applyBorder="true" applyFill="true" applyFont="true" applyNumberFormat="true">
      <main:alignment shrinkToFit="0" vertical="center" wrapText="1"/>
    </xf>
    <xf xmlns:main="http://schemas.openxmlformats.org/spreadsheetml/2006/main" borderId="4" fillId="36" fontId="103" numFmtId="0" xfId="0" applyAlignment="1" applyBorder="true" applyFill="true" applyFont="true" applyNumberFormat="true">
      <main:alignment shrinkToFit="0" vertical="center" wrapText="1"/>
    </xf>
    <xf xmlns:main="http://schemas.openxmlformats.org/spreadsheetml/2006/main" borderId="4" fillId="0" fontId="104" numFmtId="0" xfId="0" applyAlignment="1" applyBorder="true" applyFont="true" applyFill="true" applyNumberFormat="true">
      <main:alignment shrinkToFit="0" vertical="center" wrapText="1"/>
    </xf>
    <xf xmlns:main="http://schemas.openxmlformats.org/spreadsheetml/2006/main" borderId="4" fillId="37" fontId="105" numFmtId="0" xfId="0" applyAlignment="1" applyBorder="true" applyFill="true" applyFont="true" applyNumberFormat="true">
      <main:alignment shrinkToFit="0" vertical="center" wrapText="1"/>
    </xf>
    <xf xmlns:main="http://schemas.openxmlformats.org/spreadsheetml/2006/main" borderId="9" fillId="29" fontId="106" numFmtId="0" xfId="0" applyAlignment="1" applyBorder="true" applyFill="true" applyFont="true" applyNumberFormat="true">
      <main:alignment shrinkToFit="0" vertical="center" wrapText="1"/>
    </xf>
    <xf xmlns:main="http://schemas.openxmlformats.org/spreadsheetml/2006/main" borderId="10" fillId="29" fontId="107" numFmtId="0" xfId="0" applyAlignment="1" applyBorder="true" applyFill="true" applyFont="true" applyNumberFormat="true">
      <main:alignment shrinkToFit="0" vertical="center" wrapText="1"/>
    </xf>
    <xf xmlns:main="http://schemas.openxmlformats.org/spreadsheetml/2006/main" borderId="0" fillId="0" fontId="108" numFmtId="0" xfId="0" applyAlignment="1" applyFont="true" applyFill="true" applyBorder="true" applyNumberFormat="true">
      <main:alignment vertical="center"/>
    </xf>
    <xf xmlns:main="http://schemas.openxmlformats.org/spreadsheetml/2006/main" borderId="0" fillId="10" fontId="109" numFmtId="10" xfId="0" applyAlignment="1" applyFill="true" applyFont="true" applyNumberFormat="true" applyBorder="true">
      <main:alignment horizontal="right" shrinkToFit="0" vertical="center" wrapText="1"/>
    </xf>
    <xf xmlns:main="http://schemas.openxmlformats.org/spreadsheetml/2006/main" borderId="0" fillId="10" fontId="110" numFmtId="0" xfId="0" applyAlignment="1" applyFill="true" applyFont="true" applyBorder="true" applyNumberFormat="true">
      <main:alignment shrinkToFit="0" vertical="center" wrapText="1"/>
    </xf>
    <xf xmlns:main="http://schemas.openxmlformats.org/spreadsheetml/2006/main" borderId="0" fillId="11" fontId="111" numFmtId="0" xfId="0" applyAlignment="1" applyFill="true" applyFont="true" applyBorder="true" applyNumberFormat="true">
      <main:alignment horizontal="center" shrinkToFit="0" vertical="center" wrapText="1"/>
    </xf>
    <xf xmlns:main="http://schemas.openxmlformats.org/spreadsheetml/2006/main" borderId="0" fillId="11" fontId="112" numFmtId="0" xfId="0" applyAlignment="1" applyFill="true" applyFont="true" applyBorder="true" applyNumberFormat="true">
      <main:alignment shrinkToFit="0" vertical="center" wrapText="1"/>
    </xf>
    <xf xmlns:main="http://schemas.openxmlformats.org/spreadsheetml/2006/main" borderId="11" fillId="29" fontId="113" numFmtId="0" xfId="0" applyAlignment="1" applyBorder="true" applyFill="true" applyFont="true" applyNumberFormat="true">
      <main:alignment shrinkToFit="0" vertical="center" wrapText="1"/>
    </xf>
    <xf xmlns:main="http://schemas.openxmlformats.org/spreadsheetml/2006/main" borderId="9" fillId="29" fontId="114" numFmtId="0" xfId="0" applyAlignment="1" applyBorder="true" applyFill="true" applyFont="true" applyNumberFormat="true">
      <main:alignment shrinkToFit="0" vertical="center" wrapText="1"/>
    </xf>
    <xf xmlns:main="http://schemas.openxmlformats.org/spreadsheetml/2006/main" borderId="0" fillId="12" fontId="115" numFmtId="10" xfId="0" applyAlignment="1" applyFill="true" applyFont="true" applyNumberFormat="true" applyBorder="true">
      <main:alignment horizontal="right" shrinkToFit="0" vertical="center" wrapText="1"/>
    </xf>
    <xf xmlns:main="http://schemas.openxmlformats.org/spreadsheetml/2006/main" borderId="0" fillId="12" fontId="116" numFmtId="0" xfId="0" applyAlignment="1" applyFill="true" applyFont="true" applyBorder="true" applyNumberFormat="true">
      <main:alignment shrinkToFit="0" vertical="center" wrapText="1"/>
    </xf>
    <xf xmlns:main="http://schemas.openxmlformats.org/spreadsheetml/2006/main" borderId="0" fillId="12" fontId="117" numFmtId="0" xfId="0" applyAlignment="1" applyFill="true" applyFont="true" applyBorder="true" applyNumberFormat="true">
      <main:alignment horizontal="center" shrinkToFit="0" vertical="center" wrapText="1"/>
    </xf>
    <xf xmlns:main="http://schemas.openxmlformats.org/spreadsheetml/2006/main" borderId="0" fillId="12" fontId="118" numFmtId="0" xfId="0" applyAlignment="1" applyFill="true" applyFont="true" applyBorder="true" applyNumberFormat="true">
      <main:alignment shrinkToFit="0" vertical="center" wrapText="1"/>
    </xf>
    <xf xmlns:main="http://schemas.openxmlformats.org/spreadsheetml/2006/main" borderId="0" fillId="11" fontId="119" numFmtId="10" xfId="0" applyAlignment="1" applyFill="true" applyFont="true" applyNumberFormat="true" applyBorder="true">
      <main:alignment horizontal="right" shrinkToFit="0" vertical="center" wrapText="1"/>
    </xf>
    <xf xmlns:main="http://schemas.openxmlformats.org/spreadsheetml/2006/main" borderId="0" fillId="13" fontId="120" numFmtId="10" xfId="0" applyAlignment="1" applyFill="true" applyFont="true" applyNumberFormat="true" applyBorder="true">
      <main:alignment horizontal="right" shrinkToFit="0" vertical="center" wrapText="1"/>
    </xf>
    <xf xmlns:main="http://schemas.openxmlformats.org/spreadsheetml/2006/main" borderId="0" fillId="13" fontId="121" numFmtId="0" xfId="0" applyAlignment="1" applyFill="true" applyFont="true" applyBorder="true" applyNumberFormat="true">
      <main:alignment shrinkToFit="0" vertical="center" wrapText="1"/>
    </xf>
    <xf xmlns:main="http://schemas.openxmlformats.org/spreadsheetml/2006/main" borderId="9" fillId="29" fontId="122" numFmtId="0" xfId="0" applyAlignment="1" applyBorder="true" applyFill="true" applyFont="true" applyNumberFormat="true">
      <main:alignment horizontal="right" shrinkToFit="0" vertical="center" wrapText="1"/>
    </xf>
    <xf xmlns:main="http://schemas.openxmlformats.org/spreadsheetml/2006/main" borderId="9" fillId="29" fontId="123" numFmtId="0" xfId="0" applyAlignment="1" applyBorder="true" applyFill="true" applyFont="true" applyNumberFormat="true">
      <main:alignment vertical="center"/>
    </xf>
    <xf xmlns:main="http://schemas.openxmlformats.org/spreadsheetml/2006/main" borderId="21" fillId="13" fontId="124" numFmtId="0" xfId="0" applyAlignment="1" applyBorder="true" applyFill="true" applyFont="true" applyNumberFormat="true">
      <main:alignment shrinkToFit="0" vertical="center" wrapText="1"/>
    </xf>
    <xf borderId="22" fillId="0" fontId="125" numFmtId="0" xfId="0" applyBorder="true" applyFont="true" applyFill="true" applyNumberFormat="true"/>
    <xf xmlns:main="http://schemas.openxmlformats.org/spreadsheetml/2006/main" borderId="0" fillId="13" fontId="126" numFmtId="0" xfId="0" applyAlignment="1" applyFill="true" applyFont="true" applyBorder="true" applyNumberFormat="true">
      <main:alignment vertical="center"/>
    </xf>
    <xf xmlns:main="http://schemas.openxmlformats.org/spreadsheetml/2006/main" borderId="23" fillId="19" fontId="127" numFmtId="0" xfId="0" applyAlignment="1" applyBorder="true" applyFill="true" applyFont="true" applyNumberFormat="true">
      <main:alignment shrinkToFit="0" vertical="center" wrapText="1"/>
    </xf>
    <xf xmlns:main="http://schemas.openxmlformats.org/spreadsheetml/2006/main" borderId="0" fillId="19" fontId="128" numFmtId="0" xfId="0" applyAlignment="1" applyFill="true" applyFont="true" applyBorder="true" applyNumberFormat="true">
      <main:alignment vertical="center"/>
    </xf>
    <xf xmlns:main="http://schemas.openxmlformats.org/spreadsheetml/2006/main" borderId="0" fillId="30" fontId="129" numFmtId="0" xfId="0" applyAlignment="1" applyBorder="true" applyFill="true" applyFont="true" applyNumberFormat="true">
      <main:alignment shrinkToFit="0" vertical="center" wrapText="1"/>
    </xf>
    <xf xmlns:main="http://schemas.openxmlformats.org/spreadsheetml/2006/main" borderId="0" fillId="30" fontId="130" numFmtId="0" xfId="0" applyAlignment="1" applyBorder="true" applyFill="true" applyFont="true" applyNumberFormat="true">
      <main:alignment vertical="center"/>
    </xf>
    <xf xmlns:main="http://schemas.openxmlformats.org/spreadsheetml/2006/main" borderId="0" fillId="30" fontId="131" numFmtId="0" xfId="0" applyAlignment="1" applyBorder="true" applyFill="true" applyFont="true" applyNumberFormat="true">
      <main:alignment vertical="center"/>
    </xf>
    <xf xmlns:main="http://schemas.openxmlformats.org/spreadsheetml/2006/main" borderId="4" fillId="0" fontId="132" numFmtId="0" xfId="0" applyAlignment="1" applyBorder="true" applyFont="true" applyFill="true" applyNumberFormat="true">
      <main:alignment shrinkToFit="0" vertical="center" wrapText="1"/>
    </xf>
    <xf xmlns:main="http://schemas.openxmlformats.org/spreadsheetml/2006/main" borderId="4" fillId="0" fontId="133" numFmtId="0" xfId="0" applyAlignment="1" applyBorder="true" applyFont="true" applyFill="true" applyNumberFormat="true">
      <main:alignment shrinkToFit="0" vertical="center" wrapText="1"/>
    </xf>
    <xf xmlns:main="http://schemas.openxmlformats.org/spreadsheetml/2006/main" borderId="24" fillId="0" fontId="134" numFmtId="0" xfId="0" applyAlignment="1" applyBorder="true" applyFont="true" applyFill="true" applyNumberFormat="true">
      <main:alignment shrinkToFit="0" vertical="center" wrapText="1"/>
    </xf>
    <xf xmlns:main="http://schemas.openxmlformats.org/spreadsheetml/2006/main" borderId="0" fillId="0" fontId="135" numFmtId="0" xfId="0" applyAlignment="1" applyFont="true" applyFill="true" applyBorder="true" applyNumberFormat="true">
      <main:alignment shrinkToFit="0" vertical="center" wrapText="1"/>
    </xf>
    <xf xmlns:main="http://schemas.openxmlformats.org/spreadsheetml/2006/main" borderId="0" fillId="0" fontId="136" numFmtId="167" xfId="0" applyAlignment="1" applyFont="true" applyNumberFormat="true" applyFill="true" applyBorder="true">
      <main:alignment shrinkToFit="0" vertical="center" wrapText="1"/>
    </xf>
    <xf xmlns:main="http://schemas.openxmlformats.org/spreadsheetml/2006/main" borderId="0" fillId="0" fontId="137" numFmtId="0" xfId="0" applyAlignment="1" applyFont="true" applyFill="true" applyBorder="true" applyNumberFormat="true">
      <main:alignment shrinkToFit="0" vertical="center" wrapText="1"/>
    </xf>
    <xf xmlns:main="http://schemas.openxmlformats.org/spreadsheetml/2006/main" borderId="25" fillId="0" fontId="138" numFmtId="0" xfId="0" applyAlignment="1" applyBorder="true" applyFont="true" applyFill="true" applyNumberFormat="true">
      <main:alignment shrinkToFit="0" vertical="center" wrapText="1"/>
    </xf>
    <xf xmlns:main="http://schemas.openxmlformats.org/spreadsheetml/2006/main" borderId="25" fillId="0" fontId="139" numFmtId="0" xfId="0" applyAlignment="1" applyBorder="true" applyFont="true" applyFill="true" applyNumberFormat="true">
      <main:alignment shrinkToFit="0" vertical="center" wrapText="1"/>
    </xf>
    <xf xmlns:main="http://schemas.openxmlformats.org/spreadsheetml/2006/main" borderId="24" fillId="0" fontId="140" numFmtId="0" xfId="0" applyAlignment="1" applyBorder="true" applyFont="true" applyFill="true" applyNumberFormat="true">
      <main:alignment vertical="center"/>
    </xf>
    <xf xmlns:main="http://schemas.openxmlformats.org/spreadsheetml/2006/main" borderId="0" fillId="0" fontId="141" numFmtId="167" xfId="0" applyAlignment="1" applyFont="true" applyNumberFormat="true" applyFill="true" applyBorder="true">
      <main:alignment vertical="center"/>
    </xf>
    <xf xmlns:main="http://schemas.openxmlformats.org/spreadsheetml/2006/main" borderId="4" fillId="0" fontId="142" numFmtId="0" xfId="0" applyAlignment="1" applyBorder="true" applyFont="true" applyFill="true" applyNumberFormat="true">
      <main:alignment shrinkToFit="0" vertical="center" wrapText="1"/>
    </xf>
    <xf xmlns:main="http://schemas.openxmlformats.org/spreadsheetml/2006/main" borderId="25" fillId="0" fontId="143" numFmtId="0" xfId="0" applyAlignment="1" applyBorder="true" applyFont="true" applyFill="true" applyNumberFormat="true">
      <main:alignment shrinkToFit="0" vertical="center" wrapText="1"/>
    </xf>
    <xf xmlns:main="http://schemas.openxmlformats.org/spreadsheetml/2006/main" borderId="24" fillId="0" fontId="144" numFmtId="0" xfId="0" applyAlignment="1" applyBorder="true" applyFont="true" applyFill="true" applyNumberFormat="true">
      <main:alignment shrinkToFit="0" vertical="center" wrapText="1"/>
    </xf>
    <xf xmlns:main="http://schemas.openxmlformats.org/spreadsheetml/2006/main" borderId="9" fillId="38" fontId="145" numFmtId="0" xfId="0" applyAlignment="1" applyBorder="true" applyFill="true" applyFont="true" applyNumberFormat="true">
      <main:alignment readingOrder="0" shrinkToFit="0" vertical="center" wrapText="1"/>
    </xf>
    <xf xmlns:main="http://schemas.openxmlformats.org/spreadsheetml/2006/main" borderId="10" fillId="38" fontId="146" numFmtId="0" xfId="0" applyAlignment="1" applyBorder="true" applyFill="true" applyFont="true" applyNumberFormat="true">
      <main:alignment horizontal="center" shrinkToFit="0" vertical="center" wrapText="1"/>
    </xf>
    <xf xmlns:main="http://schemas.openxmlformats.org/spreadsheetml/2006/main" borderId="0" fillId="0" fontId="147" numFmtId="0" xfId="0" applyAlignment="1" applyFont="true" applyFill="true" applyBorder="true" applyNumberFormat="true">
      <main:alignment vertical="center"/>
    </xf>
    <xf xmlns:main="http://schemas.openxmlformats.org/spreadsheetml/2006/main" borderId="0" fillId="10" fontId="148" numFmtId="10" xfId="0" applyAlignment="1" applyFill="true" applyFont="true" applyNumberFormat="true" applyBorder="true">
      <main:alignment horizontal="right" vertical="center"/>
    </xf>
    <xf xmlns:main="http://schemas.openxmlformats.org/spreadsheetml/2006/main" borderId="0" fillId="10" fontId="149" numFmtId="0" xfId="0" applyAlignment="1" applyFill="true" applyFont="true" applyBorder="true" applyNumberFormat="true">
      <main:alignment horizontal="center" vertical="center"/>
    </xf>
    <xf xmlns:main="http://schemas.openxmlformats.org/spreadsheetml/2006/main" borderId="0" fillId="11" fontId="150" numFmtId="0" xfId="0" applyAlignment="1" applyFill="true" applyFont="true" applyBorder="true" applyNumberFormat="true">
      <main:alignment horizontal="center" readingOrder="0" shrinkToFit="0" vertical="center" wrapText="1"/>
    </xf>
    <xf xmlns:main="http://schemas.openxmlformats.org/spreadsheetml/2006/main" borderId="0" fillId="11" fontId="151" numFmtId="0" xfId="0" applyAlignment="1" applyFill="true" applyFont="true" applyBorder="true" applyNumberFormat="true">
      <main:alignment readingOrder="0" shrinkToFit="0" vertical="center" wrapText="1"/>
    </xf>
    <xf xmlns:main="http://schemas.openxmlformats.org/spreadsheetml/2006/main" borderId="0" fillId="0" fontId="152" numFmtId="0" xfId="0" applyAlignment="1" applyFont="true" applyFill="true" applyBorder="true" applyNumberFormat="true">
      <main:alignment shrinkToFit="0" vertical="center" wrapText="1"/>
    </xf>
    <xf xmlns:main="http://schemas.openxmlformats.org/spreadsheetml/2006/main" borderId="0" fillId="0" fontId="153" numFmtId="0" xfId="0" applyAlignment="1" applyFont="true" applyFill="true" applyBorder="true" applyNumberFormat="true">
      <main:alignment horizontal="center" vertical="center"/>
    </xf>
    <xf xmlns:main="http://schemas.openxmlformats.org/spreadsheetml/2006/main" borderId="11" fillId="38" fontId="154" numFmtId="0" xfId="0" applyAlignment="1" applyBorder="true" applyFill="true" applyFont="true" applyNumberFormat="true">
      <main:alignment readingOrder="0" shrinkToFit="0" vertical="center" wrapText="1"/>
    </xf>
    <xf xmlns:main="http://schemas.openxmlformats.org/spreadsheetml/2006/main" borderId="9" fillId="38" fontId="155" numFmtId="0" xfId="0" applyAlignment="1" applyBorder="true" applyFill="true" applyFont="true" applyNumberFormat="true">
      <main:alignment horizontal="center" readingOrder="0" shrinkToFit="0" vertical="center" wrapText="1"/>
    </xf>
    <xf xmlns:main="http://schemas.openxmlformats.org/spreadsheetml/2006/main" borderId="0" fillId="12" fontId="156" numFmtId="10" xfId="0" applyAlignment="1" applyFill="true" applyFont="true" applyNumberFormat="true" applyBorder="true">
      <main:alignment horizontal="right" vertical="center"/>
    </xf>
    <xf xmlns:main="http://schemas.openxmlformats.org/spreadsheetml/2006/main" borderId="0" fillId="12" fontId="157" numFmtId="0" xfId="0" applyAlignment="1" applyFill="true" applyFont="true" applyBorder="true" applyNumberFormat="true">
      <main:alignment horizontal="center" shrinkToFit="0" vertical="center" wrapText="1"/>
    </xf>
    <xf xmlns:main="http://schemas.openxmlformats.org/spreadsheetml/2006/main" borderId="0" fillId="38" fontId="158" numFmtId="0" xfId="0" applyAlignment="1" applyFill="true" applyFont="true" applyBorder="true" applyNumberFormat="true">
      <main:alignment horizontal="center" readingOrder="0" shrinkToFit="0" vertical="center" wrapText="1"/>
    </xf>
    <xf xmlns:main="http://schemas.openxmlformats.org/spreadsheetml/2006/main" borderId="0" fillId="38" fontId="159" numFmtId="0" xfId="0" applyAlignment="1" applyFill="true" applyFont="true" applyBorder="true" applyNumberFormat="true">
      <main:alignment readingOrder="0" shrinkToFit="0" vertical="center" wrapText="1"/>
    </xf>
    <xf xmlns:main="http://schemas.openxmlformats.org/spreadsheetml/2006/main" borderId="9" fillId="38" fontId="160" numFmtId="0" xfId="0" applyAlignment="1" applyBorder="true" applyFill="true" applyFont="true" applyNumberFormat="true">
      <main:alignment horizontal="center" readingOrder="0" vertical="center"/>
    </xf>
    <xf xmlns:main="http://schemas.openxmlformats.org/spreadsheetml/2006/main" borderId="0" fillId="11" fontId="161" numFmtId="10" xfId="0" applyAlignment="1" applyFill="true" applyFont="true" applyNumberFormat="true" applyBorder="true">
      <main:alignment horizontal="right" vertical="center"/>
    </xf>
    <xf xmlns:main="http://schemas.openxmlformats.org/spreadsheetml/2006/main" borderId="0" fillId="11" fontId="162" numFmtId="0" xfId="0" applyAlignment="1" applyFill="true" applyFont="true" applyBorder="true" applyNumberFormat="true">
      <main:alignment horizontal="center" shrinkToFit="0" vertical="center" wrapText="1"/>
    </xf>
    <xf xmlns:main="http://schemas.openxmlformats.org/spreadsheetml/2006/main" borderId="0" fillId="0" fontId="163" numFmtId="0" xfId="0" applyAlignment="1" applyFont="true" applyFill="true" applyBorder="true" applyNumberFormat="true">
      <main:alignment vertical="bottom"/>
    </xf>
    <xf xmlns:main="http://schemas.openxmlformats.org/spreadsheetml/2006/main" borderId="0" fillId="0" fontId="164" numFmtId="0" xfId="0" applyAlignment="1" applyFont="true" applyFill="true" applyBorder="true" applyNumberFormat="true">
      <main:alignment shrinkToFit="0" vertical="bottom" wrapText="1"/>
    </xf>
    <xf xmlns:main="http://schemas.openxmlformats.org/spreadsheetml/2006/main" borderId="0" fillId="39" fontId="165" numFmtId="10" xfId="0" applyAlignment="1" applyFill="true" applyFont="true" applyNumberFormat="true" applyBorder="true">
      <main:alignment horizontal="center" vertical="center"/>
    </xf>
    <xf xmlns:main="http://schemas.openxmlformats.org/spreadsheetml/2006/main" borderId="0" fillId="39" fontId="166" numFmtId="0" xfId="0" applyAlignment="1" applyFill="true" applyFont="true" applyBorder="true" applyNumberFormat="true">
      <main:alignment shrinkToFit="0" vertical="center" wrapText="1"/>
    </xf>
    <xf xmlns:main="http://schemas.openxmlformats.org/spreadsheetml/2006/main" borderId="9" fillId="38" fontId="167" numFmtId="164" xfId="0" applyAlignment="1" applyBorder="true" applyFill="true" applyFont="true" applyNumberFormat="true">
      <main:alignment horizontal="center" readingOrder="0" shrinkToFit="0" vertical="center" wrapText="1"/>
    </xf>
    <xf xmlns:main="http://schemas.openxmlformats.org/spreadsheetml/2006/main" borderId="9" fillId="38" fontId="168" numFmtId="0" xfId="0" applyAlignment="1" applyBorder="true" applyFill="true" applyFont="true" applyNumberFormat="true">
      <main:alignment vertical="center"/>
    </xf>
    <xf xmlns:main="http://schemas.openxmlformats.org/spreadsheetml/2006/main" borderId="21" fillId="13" fontId="169" numFmtId="0" xfId="0" applyAlignment="1" applyBorder="true" applyFill="true" applyFont="true" applyNumberFormat="true">
      <main:alignment readingOrder="0" vertical="center"/>
    </xf>
    <xf xmlns:main="http://schemas.openxmlformats.org/spreadsheetml/2006/main" borderId="22" fillId="13" fontId="170" numFmtId="0" xfId="0" applyAlignment="1" applyBorder="true" applyFill="true" applyFont="true" applyNumberFormat="true">
      <main:alignment readingOrder="0" vertical="center"/>
    </xf>
    <xf xmlns:main="http://schemas.openxmlformats.org/spreadsheetml/2006/main" borderId="0" fillId="13" fontId="171" numFmtId="0" xfId="0" applyAlignment="1" applyFill="true" applyFont="true" applyBorder="true" applyNumberFormat="true">
      <main:alignment vertical="center"/>
    </xf>
    <xf xmlns:main="http://schemas.openxmlformats.org/spreadsheetml/2006/main" borderId="0" fillId="13" fontId="172" numFmtId="0" xfId="0" applyAlignment="1" applyFill="true" applyFont="true" applyBorder="true" applyNumberFormat="true">
      <main:alignment shrinkToFit="0" vertical="center" wrapText="1"/>
    </xf>
    <xf xmlns:main="http://schemas.openxmlformats.org/spreadsheetml/2006/main" borderId="0" fillId="13" fontId="173" numFmtId="0" xfId="0" applyAlignment="1" applyFill="true" applyFont="true" applyBorder="true" applyNumberFormat="true">
      <main:alignment horizontal="center" vertical="center"/>
    </xf>
    <xf xmlns:main="http://schemas.openxmlformats.org/spreadsheetml/2006/main" borderId="26" fillId="40" fontId="174" numFmtId="0" xfId="0" applyAlignment="1" applyBorder="true" applyFill="true" applyFont="true" applyNumberFormat="true">
      <main:alignment horizontal="center" shrinkToFit="0" vertical="center" wrapText="1"/>
    </xf>
    <xf xmlns:main="http://schemas.openxmlformats.org/spreadsheetml/2006/main" borderId="26" fillId="0" fontId="175" numFmtId="0" xfId="0" applyAlignment="1" applyBorder="true" applyFont="true" applyFill="true" applyNumberFormat="true">
      <main:alignment vertical="center"/>
    </xf>
    <xf xmlns:main="http://schemas.openxmlformats.org/spreadsheetml/2006/main" borderId="0" fillId="0" fontId="176" numFmtId="0" xfId="0" applyAlignment="1" applyFont="true" applyFill="true" applyBorder="true" applyNumberFormat="true">
      <main:alignment vertical="center"/>
    </xf>
    <xf xmlns:main="http://schemas.openxmlformats.org/spreadsheetml/2006/main" borderId="27" fillId="41" fontId="177" numFmtId="0" xfId="0" applyAlignment="1" applyBorder="true" applyFill="true" applyFont="true" applyNumberFormat="true">
      <main:alignment vertical="center"/>
    </xf>
    <xf xmlns:main="http://schemas.openxmlformats.org/spreadsheetml/2006/main" borderId="28" fillId="41" fontId="178" numFmtId="0" xfId="0" applyAlignment="1" applyBorder="true" applyFill="true" applyFont="true" applyNumberFormat="true">
      <main:alignment vertical="center"/>
    </xf>
    <xf xmlns:main="http://schemas.openxmlformats.org/spreadsheetml/2006/main" borderId="29" fillId="41" fontId="179" numFmtId="0" xfId="0" applyAlignment="1" applyBorder="true" applyFill="true" applyFont="true" applyNumberFormat="true">
      <main:alignment vertical="center"/>
    </xf>
    <xf xmlns:main="http://schemas.openxmlformats.org/spreadsheetml/2006/main" borderId="26" fillId="41" fontId="180" numFmtId="0" xfId="0" applyAlignment="1" applyBorder="true" applyFill="true" applyFont="true" applyNumberFormat="true">
      <main:alignment vertical="center"/>
    </xf>
    <xf xmlns:main="http://schemas.openxmlformats.org/spreadsheetml/2006/main" borderId="26" fillId="41" fontId="181" numFmtId="0" xfId="0" applyAlignment="1" applyBorder="true" applyFill="true" applyFont="true" applyNumberFormat="true">
      <main:alignment vertical="center"/>
    </xf>
    <xf xmlns:main="http://schemas.openxmlformats.org/spreadsheetml/2006/main" borderId="0" fillId="41" fontId="182" numFmtId="0" xfId="0" applyAlignment="1" applyFill="true" applyFont="true" applyBorder="true" applyNumberFormat="true">
      <main:alignment vertical="center"/>
    </xf>
    <xf xmlns:main="http://schemas.openxmlformats.org/spreadsheetml/2006/main" borderId="26" fillId="0" fontId="183" numFmtId="0" xfId="0" applyAlignment="1" applyBorder="true" applyFont="true" applyFill="true" applyNumberFormat="true">
      <main:alignment shrinkToFit="0" vertical="center" wrapText="1"/>
    </xf>
    <xf xmlns:main="http://schemas.openxmlformats.org/spreadsheetml/2006/main" borderId="26" fillId="0" fontId="184" numFmtId="0" xfId="0" applyAlignment="1" applyBorder="true" applyFont="true" applyFill="true" applyNumberFormat="true">
      <main:alignment shrinkToFit="0" vertical="center" wrapText="1"/>
    </xf>
    <xf xmlns:main="http://schemas.openxmlformats.org/spreadsheetml/2006/main" borderId="26" fillId="0" fontId="185" numFmtId="0" xfId="0" applyAlignment="1" applyBorder="true" applyFont="true" applyFill="true" applyNumberFormat="true">
      <main:alignment shrinkToFit="0" vertical="center" wrapText="1"/>
    </xf>
    <xf xmlns:main="http://schemas.openxmlformats.org/spreadsheetml/2006/main" borderId="26" fillId="0" fontId="186" numFmtId="0" xfId="0" applyAlignment="1" applyBorder="true" applyFont="true" applyFill="true" applyNumberFormat="true">
      <main:alignment vertical="center"/>
    </xf>
    <xf xmlns:main="http://schemas.openxmlformats.org/spreadsheetml/2006/main" borderId="26" fillId="0" fontId="187" numFmtId="166" xfId="0" applyAlignment="1" applyBorder="true" applyFont="true" applyNumberFormat="true" applyFill="true">
      <main:alignment vertical="center"/>
    </xf>
    <xf xmlns:main="http://schemas.openxmlformats.org/spreadsheetml/2006/main" borderId="0" fillId="0" fontId="188" numFmtId="166" xfId="0" applyAlignment="1" applyFont="true" applyNumberFormat="true" applyFill="true" applyBorder="true">
      <main:alignment vertical="center"/>
    </xf>
    <xf xmlns:main="http://schemas.openxmlformats.org/spreadsheetml/2006/main" borderId="26" fillId="0" fontId="189" numFmtId="0" xfId="0" applyAlignment="1" applyBorder="true" applyFont="true" applyFill="true" applyNumberFormat="true">
      <main:alignment shrinkToFit="0" vertical="center" wrapText="1"/>
    </xf>
    <xf xmlns:main="http://schemas.openxmlformats.org/spreadsheetml/2006/main" borderId="26" fillId="0" fontId="190" numFmtId="165" xfId="0" applyAlignment="1" applyBorder="true" applyFont="true" applyNumberFormat="true" applyFill="true">
      <main:alignment vertical="center"/>
    </xf>
    <xf xmlns:main="http://schemas.openxmlformats.org/spreadsheetml/2006/main" borderId="28" fillId="41" fontId="191" numFmtId="0" xfId="0" applyAlignment="1" applyBorder="true" applyFill="true" applyFont="true" applyNumberFormat="true">
      <main:alignment vertical="center"/>
    </xf>
    <xf xmlns:main="http://schemas.openxmlformats.org/spreadsheetml/2006/main" borderId="26" fillId="0" fontId="192" numFmtId="0" xfId="0" applyAlignment="1" applyBorder="true" applyFont="true" applyFill="true" applyNumberFormat="true">
      <main:alignment readingOrder="0" shrinkToFit="0" vertical="center" wrapText="1"/>
    </xf>
    <xf xmlns:main="http://schemas.openxmlformats.org/spreadsheetml/2006/main" borderId="26" fillId="0" fontId="193" numFmtId="0" xfId="0" applyAlignment="1" applyBorder="true" applyFont="true" applyFill="true" applyNumberFormat="true">
      <main:alignment readingOrder="0" shrinkToFit="0" vertical="center" wrapText="1"/>
    </xf>
    <xf xmlns:main="http://schemas.openxmlformats.org/spreadsheetml/2006/main" borderId="29" fillId="0" fontId="194" numFmtId="0" xfId="0" applyAlignment="1" applyBorder="true" applyFont="true" applyFill="true" applyNumberFormat="true">
      <main:alignment vertical="center"/>
    </xf>
    <xf xmlns:main="http://schemas.openxmlformats.org/spreadsheetml/2006/main" borderId="26" fillId="0" fontId="195" numFmtId="0" xfId="0" applyAlignment="1" applyBorder="true" applyFont="true" applyFill="true" applyNumberFormat="true">
      <main:alignment vertical="center"/>
    </xf>
    <xf xmlns:main="http://schemas.openxmlformats.org/spreadsheetml/2006/main" borderId="26" fillId="0" fontId="196" numFmtId="0" xfId="0" applyAlignment="1" applyBorder="true" applyFont="true" applyFill="true" applyNumberFormat="true">
      <main:alignment vertical="center"/>
    </xf>
    <xf xmlns:main="http://schemas.openxmlformats.org/spreadsheetml/2006/main" borderId="26" fillId="0" fontId="197" numFmtId="0" xfId="0" applyAlignment="1" applyBorder="true" applyFont="true" applyFill="true" applyNumberFormat="true">
      <main:alignment shrinkToFit="0" vertical="center" wrapText="1"/>
    </xf>
    <xf xmlns:main="http://schemas.openxmlformats.org/spreadsheetml/2006/main" borderId="26" fillId="0" fontId="198" numFmtId="0" xfId="0" applyAlignment="1" applyBorder="true" applyFont="true" applyFill="true" applyNumberFormat="true">
      <main:alignment shrinkToFit="0" vertical="center" wrapText="1"/>
    </xf>
    <xf xmlns:main="http://schemas.openxmlformats.org/spreadsheetml/2006/main" borderId="30" fillId="38" fontId="199" numFmtId="0" xfId="0" applyAlignment="1" applyBorder="true" applyFill="true" applyFont="true" applyNumberFormat="true">
      <main:alignment shrinkToFit="0" vertical="center" wrapText="1"/>
    </xf>
    <xf xmlns:main="http://schemas.openxmlformats.org/spreadsheetml/2006/main" borderId="30" fillId="38" fontId="200" numFmtId="0" xfId="0" applyAlignment="1" applyBorder="true" applyFill="true" applyFont="true" applyNumberFormat="true">
      <main:alignment shrinkToFit="0" vertical="center" wrapText="1"/>
    </xf>
    <xf xmlns:main="http://schemas.openxmlformats.org/spreadsheetml/2006/main" borderId="30" fillId="0" fontId="201" numFmtId="0" xfId="0" applyAlignment="1" applyBorder="true" applyFont="true" applyFill="true" applyNumberFormat="true">
      <main:alignment vertical="center"/>
    </xf>
    <xf xmlns:main="http://schemas.openxmlformats.org/spreadsheetml/2006/main" borderId="30" fillId="10" fontId="202" numFmtId="10" xfId="0" applyAlignment="1" applyBorder="true" applyFill="true" applyFont="true" applyNumberFormat="true">
      <main:alignment horizontal="right" shrinkToFit="0" vertical="center" wrapText="1"/>
    </xf>
    <xf xmlns:main="http://schemas.openxmlformats.org/spreadsheetml/2006/main" borderId="30" fillId="10" fontId="203" numFmtId="0" xfId="0" applyAlignment="1" applyBorder="true" applyFill="true" applyFont="true" applyNumberFormat="true">
      <main:alignment shrinkToFit="0" vertical="center" wrapText="1"/>
    </xf>
    <xf xmlns:main="http://schemas.openxmlformats.org/spreadsheetml/2006/main" borderId="30" fillId="11" fontId="204" numFmtId="0" xfId="0" applyAlignment="1" applyBorder="true" applyFill="true" applyFont="true" applyNumberFormat="true">
      <main:alignment horizontal="center" shrinkToFit="0" vertical="center" wrapText="1"/>
    </xf>
    <xf xmlns:main="http://schemas.openxmlformats.org/spreadsheetml/2006/main" borderId="30" fillId="11" fontId="205" numFmtId="0" xfId="0" applyAlignment="1" applyBorder="true" applyFill="true" applyFont="true" applyNumberFormat="true">
      <main:alignment shrinkToFit="0" vertical="center" wrapText="1"/>
    </xf>
    <xf xmlns:main="http://schemas.openxmlformats.org/spreadsheetml/2006/main" borderId="30" fillId="38" fontId="206" numFmtId="0" xfId="0" applyAlignment="1" applyBorder="true" applyFill="true" applyFont="true" applyNumberFormat="true">
      <main:alignment shrinkToFit="0" vertical="center" wrapText="1"/>
    </xf>
    <xf xmlns:main="http://schemas.openxmlformats.org/spreadsheetml/2006/main" borderId="30" fillId="12" fontId="207" numFmtId="10" xfId="0" applyAlignment="1" applyBorder="true" applyFill="true" applyFont="true" applyNumberFormat="true">
      <main:alignment horizontal="right" shrinkToFit="0" vertical="center" wrapText="1"/>
    </xf>
    <xf xmlns:main="http://schemas.openxmlformats.org/spreadsheetml/2006/main" borderId="30" fillId="12" fontId="208" numFmtId="0" xfId="0" applyAlignment="1" applyBorder="true" applyFill="true" applyFont="true" applyNumberFormat="true">
      <main:alignment shrinkToFit="0" vertical="center" wrapText="1"/>
    </xf>
    <xf xmlns:main="http://schemas.openxmlformats.org/spreadsheetml/2006/main" borderId="30" fillId="12" fontId="209" numFmtId="0" xfId="0" applyAlignment="1" applyBorder="true" applyFill="true" applyFont="true" applyNumberFormat="true">
      <main:alignment vertical="center"/>
    </xf>
    <xf xmlns:main="http://schemas.openxmlformats.org/spreadsheetml/2006/main" borderId="30" fillId="38" fontId="210" numFmtId="0" xfId="0" applyAlignment="1" applyBorder="true" applyFill="true" applyFont="true" applyNumberFormat="true">
      <main:alignment vertical="center"/>
    </xf>
    <xf xmlns:main="http://schemas.openxmlformats.org/spreadsheetml/2006/main" borderId="30" fillId="11" fontId="211" numFmtId="10" xfId="0" applyAlignment="1" applyBorder="true" applyFill="true" applyFont="true" applyNumberFormat="true">
      <main:alignment horizontal="right" shrinkToFit="0" vertical="center" wrapText="1"/>
    </xf>
    <xf xmlns:main="http://schemas.openxmlformats.org/spreadsheetml/2006/main" borderId="30" fillId="11" fontId="212" numFmtId="10" xfId="0" applyAlignment="1" applyBorder="true" applyFill="true" applyFont="true" applyNumberFormat="true">
      <main:alignment horizontal="center" shrinkToFit="0" vertical="center" wrapText="1"/>
    </xf>
    <xf xmlns:main="http://schemas.openxmlformats.org/spreadsheetml/2006/main" borderId="30" fillId="38" fontId="213" numFmtId="168" xfId="0" applyAlignment="1" applyBorder="true" applyFill="true" applyFont="true" applyNumberFormat="true">
      <main:alignment horizontal="right" shrinkToFit="0" vertical="center" wrapText="1"/>
    </xf>
    <xf xmlns:main="http://schemas.openxmlformats.org/spreadsheetml/2006/main" borderId="30" fillId="38" fontId="214" numFmtId="168" xfId="0" applyAlignment="1" applyBorder="true" applyFill="true" applyFont="true" applyNumberFormat="true">
      <main:alignment vertical="center"/>
    </xf>
    <xf xmlns:main="http://schemas.openxmlformats.org/spreadsheetml/2006/main" borderId="23" fillId="19" fontId="215" numFmtId="0" xfId="0" applyAlignment="1" applyBorder="true" applyFill="true" applyFont="true" applyNumberFormat="true">
      <main:alignment shrinkToFit="0" vertical="center" wrapText="1"/>
    </xf>
    <xf xmlns:main="http://schemas.openxmlformats.org/spreadsheetml/2006/main" borderId="0" fillId="19" fontId="216" numFmtId="0" xfId="0" applyAlignment="1" applyFill="true" applyFont="true" applyBorder="true" applyNumberFormat="true">
      <main:alignment vertical="center"/>
    </xf>
    <xf xmlns:main="http://schemas.openxmlformats.org/spreadsheetml/2006/main" borderId="30" fillId="0" fontId="217" numFmtId="0" xfId="0" applyAlignment="1" applyBorder="true" applyFont="true" applyFill="true" applyNumberFormat="true">
      <main:alignment shrinkToFit="0" vertical="center" wrapText="1"/>
    </xf>
    <xf xmlns:main="http://schemas.openxmlformats.org/spreadsheetml/2006/main" borderId="30" fillId="0" fontId="218" numFmtId="0" xfId="0" applyAlignment="1" applyBorder="true" applyFont="true" applyFill="true" applyNumberFormat="true">
      <main:alignment shrinkToFit="0" vertical="center" wrapText="1"/>
    </xf>
    <xf xmlns:main="http://schemas.openxmlformats.org/spreadsheetml/2006/main" borderId="30" fillId="0" fontId="219" numFmtId="0" xfId="0" applyAlignment="1" applyBorder="true" applyFont="true" applyFill="true" applyNumberFormat="true">
      <main:alignment vertical="center"/>
    </xf>
    <xf xmlns:main="http://schemas.openxmlformats.org/spreadsheetml/2006/main" borderId="0" fillId="0" fontId="220" numFmtId="0" xfId="0" applyAlignment="1" applyFont="true" applyFill="true" applyBorder="true" applyNumberFormat="true">
      <main:alignment vertical="center"/>
    </xf>
    <xf xmlns:main="http://schemas.openxmlformats.org/spreadsheetml/2006/main" borderId="30" fillId="0" fontId="221" numFmtId="166" xfId="0" applyAlignment="1" applyBorder="true" applyFont="true" applyNumberFormat="true" applyFill="true">
      <main:alignment shrinkToFit="0" vertical="center" wrapText="1"/>
    </xf>
    <xf xmlns:main="http://schemas.openxmlformats.org/spreadsheetml/2006/main" borderId="30" fillId="0" fontId="222" numFmtId="166" xfId="0" applyAlignment="1" applyBorder="true" applyFont="true" applyNumberFormat="true" applyFill="true">
      <main:alignment horizontal="right" shrinkToFit="0" vertical="center" wrapText="1"/>
    </xf>
    <xf xmlns:main="http://schemas.openxmlformats.org/spreadsheetml/2006/main" borderId="0" fillId="0" fontId="223" numFmtId="0" xfId="0" applyAlignment="1" applyFont="true" applyFill="true" applyBorder="true" applyNumberFormat="true">
      <main:alignment vertical="center"/>
    </xf>
    <xf xmlns:main="http://schemas.openxmlformats.org/spreadsheetml/2006/main" borderId="30" fillId="0" fontId="224" numFmtId="0" xfId="0" applyAlignment="1" applyBorder="true" applyFont="true" applyFill="true" applyNumberFormat="true">
      <main:alignment horizontal="right" shrinkToFit="0" vertical="center" wrapText="1"/>
    </xf>
    <xf xmlns:main="http://schemas.openxmlformats.org/spreadsheetml/2006/main" borderId="30" fillId="22" fontId="225" numFmtId="0" xfId="0" applyAlignment="1" applyBorder="true" applyFill="true" applyFont="true" applyNumberFormat="true">
      <main:alignment vertical="center"/>
    </xf>
    <xf xmlns:main="http://schemas.openxmlformats.org/spreadsheetml/2006/main" borderId="30" fillId="0" fontId="226" numFmtId="0" xfId="0" applyAlignment="1" applyBorder="true" applyFont="true" applyFill="true" applyNumberFormat="true">
      <main:alignment readingOrder="0" vertical="center"/>
    </xf>
    <xf xmlns:main="http://schemas.openxmlformats.org/spreadsheetml/2006/main" borderId="30" fillId="0" fontId="227" numFmtId="166" xfId="0" applyAlignment="1" applyBorder="true" applyFont="true" applyNumberFormat="true" applyFill="true">
      <main:alignment vertical="center"/>
    </xf>
    <xf xmlns:main="http://schemas.openxmlformats.org/spreadsheetml/2006/main" borderId="0" fillId="0" fontId="228" numFmtId="0" xfId="0" applyAlignment="1" applyFont="true" applyFill="true" applyBorder="true" applyNumberFormat="true">
      <main:alignment vertical="center"/>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metadata" Type="http://customschemas.google.com/relationships/workbookmetadata"/><Relationship Id="rId11" Target="worksheets/sheet6.xml" Type="http://schemas.openxmlformats.org/officeDocument/2006/relationships/worksheet"/><Relationship Id="rId12" Target="worksheets/sheet7.xml" Type="http://schemas.openxmlformats.org/officeDocument/2006/relationships/worksheet"/><Relationship Id="rId13" Target="worksheets/sheet8.xml" Type="http://schemas.openxmlformats.org/officeDocument/2006/relationships/worksheet"/><Relationship Id="rId14" Target="worksheets/sheet9.xml" Type="http://schemas.openxmlformats.org/officeDocument/2006/relationships/worksheet"/><Relationship Id="rId15" Target="worksheets/sheet10.xml" Type="http://schemas.openxmlformats.org/officeDocument/2006/relationships/worksheet"/><Relationship Id="rId16" Target="worksheets/sheet1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F1000"/>
  <sheetViews>
    <sheetView showGridLines="0" workbookViewId="0"/>
  </sheetViews>
  <sheetFormatPr customHeight="1" defaultColWidth="14.43" defaultRowHeight="15.0"/>
  <cols>
    <col min="1" max="1" customWidth="true" width="22.0"/>
    <col min="2" max="6" customWidth="true" width="20.0"/>
    <col min="7" max="26" customWidth="true" width="8.71"/>
  </cols>
  <sheetData>
    <row r="1" ht="33.75" customHeight="1">
      <c r="A1" s="1" t="s">
        <v>1</v>
      </c>
      <c r="B1" s="2"/>
      <c r="C1" s="2"/>
      <c r="D1" s="2"/>
      <c r="E1" s="2"/>
      <c r="F1" s="3"/>
    </row>
    <row r="2" ht="18.0" customHeight="1">
      <c r="A2" s="4" t="s">
        <v>5</v>
      </c>
    </row>
    <row r="3">
      <c r="A3" s="5"/>
      <c r="B3" s="5"/>
      <c r="C3" s="5"/>
      <c r="D3" s="5"/>
      <c r="E3" s="5"/>
      <c r="F3" s="5"/>
    </row>
    <row r="4" ht="34.5" customHeight="1">
      <c r="A4" s="14" t="s">
        <v>9</v>
      </c>
      <c r="B4" s="15" t="s">
        <v>62</v>
      </c>
    </row>
    <row r="5">
      <c r="A5" s="5"/>
      <c r="B5" s="5"/>
      <c r="C5" s="5"/>
      <c r="D5" s="5"/>
      <c r="E5" s="5"/>
      <c r="F5" s="5"/>
    </row>
    <row r="6">
      <c r="A6" s="5"/>
      <c r="B6" s="5"/>
      <c r="C6" s="5"/>
      <c r="D6" s="5"/>
      <c r="E6" s="5"/>
      <c r="F6" s="5"/>
    </row>
    <row r="7" ht="15.0" customHeight="1">
      <c r="A7" s="14" t="s">
        <v>91</v>
      </c>
      <c r="B7" s="5"/>
      <c r="C7" s="5"/>
      <c r="D7" s="5"/>
      <c r="E7" s="5"/>
      <c r="F7" s="5"/>
    </row>
    <row r="8" ht="31.5" customHeight="1">
      <c r="A8" s="17" t="s">
        <v>0</v>
      </c>
      <c r="B8" s="15" t="s">
        <v>115</v>
      </c>
    </row>
    <row r="9" ht="31.5" customHeight="1">
      <c r="A9" s="17" t="s">
        <v>124</v>
      </c>
      <c r="B9" s="15" t="s">
        <v>129</v>
      </c>
    </row>
    <row r="10" ht="31.5" customHeight="1">
      <c r="A10" s="17" t="s">
        <v>134</v>
      </c>
      <c r="B10" s="15" t="s">
        <v>136</v>
      </c>
    </row>
    <row r="11" ht="60.0" customHeight="1">
      <c r="A11" s="17" t="s">
        <v>140</v>
      </c>
      <c r="B11" s="15" t="s">
        <v>147</v>
      </c>
    </row>
    <row r="12">
      <c r="A12" s="5"/>
      <c r="B12" s="5"/>
      <c r="C12" s="5"/>
      <c r="D12" s="5"/>
      <c r="E12" s="5"/>
      <c r="F12" s="5"/>
    </row>
    <row r="13" ht="15.0" customHeight="1">
      <c r="A13" s="14" t="s">
        <v>165</v>
      </c>
      <c r="B13" s="5"/>
      <c r="C13" s="5"/>
      <c r="D13" s="5"/>
      <c r="E13" s="5"/>
      <c r="F13" s="5"/>
    </row>
    <row r="14" ht="90.0" customHeight="1">
      <c r="A14" s="15" t="s">
        <v>175</v>
      </c>
    </row>
    <row r="15" ht="15.0" customHeight="1"/>
    <row r="16" ht="15.0" customHeight="1"/>
    <row r="17" ht="15.0" customHeight="1"/>
    <row r="18">
      <c r="A18" s="5"/>
      <c r="B18" s="5"/>
      <c r="C18" s="5"/>
      <c r="D18" s="5"/>
      <c r="E18" s="5"/>
      <c r="F18" s="5"/>
    </row>
    <row r="19" ht="15.0" customHeight="1">
      <c r="A19" s="14" t="s">
        <v>191</v>
      </c>
      <c r="B19" s="5"/>
      <c r="C19" s="5"/>
      <c r="D19" s="5"/>
      <c r="E19" s="5"/>
      <c r="F19" s="5"/>
    </row>
    <row r="20" ht="23.25" customHeight="1">
      <c r="A20" s="19" t="s">
        <v>193</v>
      </c>
      <c r="B20" s="15" t="s">
        <v>207</v>
      </c>
    </row>
    <row r="21" ht="23.25" customHeight="1">
      <c r="A21" s="19" t="s">
        <v>211</v>
      </c>
      <c r="B21" s="15" t="s">
        <v>212</v>
      </c>
    </row>
    <row r="22" ht="15.0" customHeight="1">
      <c r="A22" s="19" t="s">
        <v>213</v>
      </c>
      <c r="B22" s="15" t="s">
        <v>214</v>
      </c>
    </row>
    <row r="23" ht="23.25" customHeight="1">
      <c r="A23" s="19" t="s">
        <v>216</v>
      </c>
      <c r="B23" s="15" t="s">
        <v>217</v>
      </c>
    </row>
    <row r="24" ht="15.0" customHeight="1">
      <c r="A24" s="19" t="s">
        <v>219</v>
      </c>
      <c r="B24" s="15" t="s">
        <v>220</v>
      </c>
    </row>
    <row r="25" ht="23.25" customHeight="1">
      <c r="A25" s="19" t="s">
        <v>221</v>
      </c>
      <c r="B25" s="15" t="s">
        <v>222</v>
      </c>
    </row>
    <row r="26" ht="15.75" customHeight="1">
      <c r="A26" s="5"/>
      <c r="B26" s="5"/>
      <c r="C26" s="5"/>
      <c r="D26" s="5"/>
      <c r="E26" s="5"/>
      <c r="F26" s="5"/>
    </row>
    <row r="27" ht="15.0" customHeight="1">
      <c r="A27" s="14" t="s">
        <v>223</v>
      </c>
      <c r="B27" s="5"/>
      <c r="C27" s="5"/>
      <c r="D27" s="5"/>
      <c r="E27" s="5"/>
      <c r="F27" s="5"/>
    </row>
    <row r="28" ht="15.0" customHeight="1">
      <c r="A28" s="22" t="s">
        <v>224</v>
      </c>
      <c r="B28" s="5"/>
      <c r="C28" s="5"/>
      <c r="D28" s="5"/>
      <c r="E28" s="5"/>
      <c r="F28" s="5"/>
    </row>
    <row r="29" ht="15.0" customHeight="1">
      <c r="A29" s="23" t="s">
        <v>225</v>
      </c>
      <c r="B29" s="5"/>
      <c r="C29" s="5"/>
      <c r="D29" s="5"/>
      <c r="E29" s="5"/>
      <c r="F29" s="5"/>
    </row>
    <row r="30" ht="15.0" customHeight="1">
      <c r="A30" s="24" t="s">
        <v>227</v>
      </c>
      <c r="B30" s="5"/>
      <c r="C30" s="5"/>
      <c r="D30" s="5"/>
      <c r="E30" s="5"/>
      <c r="F30" s="5"/>
    </row>
    <row r="31" ht="15.0" customHeight="1">
      <c r="A31" s="25" t="s">
        <v>229</v>
      </c>
      <c r="B31" s="5"/>
      <c r="C31" s="5"/>
      <c r="D31" s="5"/>
      <c r="E31" s="5"/>
      <c r="F31" s="5"/>
    </row>
    <row r="32" ht="15.75" customHeight="1">
      <c r="A32" s="5"/>
      <c r="B32" s="5"/>
      <c r="C32" s="5"/>
      <c r="D32" s="5"/>
      <c r="E32" s="5"/>
      <c r="F32" s="5"/>
    </row>
    <row r="33" ht="15.75" customHeight="1">
      <c r="A33" s="5"/>
      <c r="B33" s="5"/>
      <c r="C33" s="5"/>
      <c r="D33" s="5"/>
      <c r="E33" s="5"/>
      <c r="F33" s="5"/>
    </row>
    <row r="34" ht="15.75" customHeight="1">
      <c r="A34" s="5"/>
      <c r="B34" s="5"/>
      <c r="C34" s="5"/>
      <c r="D34" s="5"/>
      <c r="E34" s="5"/>
      <c r="F34" s="5"/>
    </row>
    <row r="35" ht="15.75" customHeight="1">
      <c r="A35" s="5"/>
      <c r="B35" s="5"/>
      <c r="C35" s="5"/>
      <c r="D35" s="5"/>
      <c r="E35" s="5"/>
      <c r="F35" s="5"/>
    </row>
    <row r="36" ht="15.75" customHeight="1">
      <c r="A36" s="5"/>
      <c r="B36" s="5"/>
      <c r="C36" s="5"/>
      <c r="D36" s="5"/>
      <c r="E36" s="5"/>
      <c r="F36" s="5"/>
    </row>
    <row r="37" ht="15.75" customHeight="1">
      <c r="A37" s="5"/>
      <c r="B37" s="5"/>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4">
    <mergeCell ref="A14:F17"/>
    <mergeCell ref="B20:F20"/>
    <mergeCell ref="B21:F21"/>
    <mergeCell ref="B22:F22"/>
    <mergeCell ref="B23:F23"/>
    <mergeCell ref="B24:F24"/>
    <mergeCell ref="B25:F25"/>
    <mergeCell ref="A1:F1"/>
    <mergeCell ref="A2:F2"/>
    <mergeCell ref="B4:F4"/>
    <mergeCell ref="B8:F8"/>
    <mergeCell ref="B9:F9"/>
    <mergeCell ref="B10:F10"/>
    <mergeCell ref="B11:F1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D1000"/>
  <sheetViews>
    <sheetView showGridLines="0" workbookViewId="0"/>
  </sheetViews>
  <sheetFormatPr customHeight="1" defaultColWidth="14.43" defaultRowHeight="15.0"/>
  <cols>
    <col min="1" max="1" customWidth="true" width="24.0"/>
    <col min="2" max="2" customWidth="true" width="62.0"/>
    <col min="3" max="3" customWidth="true" width="18.0"/>
    <col min="4" max="4" customWidth="true" width="14.0"/>
    <col min="5" max="26" customWidth="true" width="8.71"/>
  </cols>
  <sheetData>
    <row r="1" ht="33.75" customHeight="1">
      <c r="A1" s="1" t="s">
        <v>0</v>
      </c>
      <c r="B1" s="2"/>
      <c r="C1" s="2"/>
      <c r="D1" s="3"/>
    </row>
    <row r="2" ht="18.0" customHeight="1">
      <c r="A2" s="4" t="s">
        <v>4</v>
      </c>
    </row>
    <row r="3">
      <c r="A3" s="5"/>
      <c r="B3" s="5"/>
      <c r="C3" s="5"/>
      <c r="D3" s="5"/>
    </row>
    <row r="4" ht="49.5" customHeight="1">
      <c r="A4" s="7" t="s">
        <v>8</v>
      </c>
      <c r="B4" s="9" t="s">
        <v>15</v>
      </c>
      <c r="C4" s="11"/>
      <c r="D4" s="13"/>
    </row>
    <row r="5">
      <c r="A5" s="5"/>
      <c r="B5" s="5"/>
      <c r="C5" s="5"/>
      <c r="D5" s="5"/>
    </row>
    <row r="6" ht="49.5" customHeight="1">
      <c r="A6" s="7" t="s">
        <v>44</v>
      </c>
      <c r="B6" s="9" t="s">
        <v>46</v>
      </c>
      <c r="C6" s="11"/>
      <c r="D6" s="13"/>
    </row>
    <row r="7">
      <c r="A7" s="5"/>
      <c r="B7" s="5"/>
      <c r="C7" s="5"/>
      <c r="D7" s="5"/>
    </row>
    <row r="8" ht="49.5" customHeight="1">
      <c r="A8" s="7" t="s">
        <v>58</v>
      </c>
      <c r="B8" s="9" t="s">
        <v>68</v>
      </c>
      <c r="C8" s="11"/>
      <c r="D8" s="13"/>
    </row>
    <row r="9">
      <c r="A9" s="5"/>
      <c r="B9" s="5"/>
      <c r="C9" s="5"/>
      <c r="D9" s="5"/>
    </row>
    <row r="10" ht="49.5" customHeight="1">
      <c r="A10" s="7" t="s">
        <v>81</v>
      </c>
      <c r="B10" s="9" t="s">
        <v>83</v>
      </c>
      <c r="C10" s="11"/>
      <c r="D10" s="13"/>
    </row>
    <row r="11">
      <c r="A11" s="5"/>
      <c r="B11" s="5"/>
      <c r="C11" s="5"/>
      <c r="D11" s="5"/>
    </row>
    <row r="12" ht="49.5" customHeight="1">
      <c r="A12" s="7" t="s">
        <v>92</v>
      </c>
      <c r="B12" s="9" t="s">
        <v>94</v>
      </c>
      <c r="C12" s="11"/>
      <c r="D12" s="13"/>
    </row>
    <row r="13">
      <c r="A13" s="5"/>
      <c r="B13" s="5"/>
      <c r="C13" s="5"/>
      <c r="D13" s="5"/>
    </row>
    <row r="14" ht="49.5" customHeight="1">
      <c r="A14" s="7" t="s">
        <v>102</v>
      </c>
      <c r="B14" s="9" t="s">
        <v>106</v>
      </c>
      <c r="C14" s="11"/>
      <c r="D14" s="13"/>
    </row>
    <row r="15">
      <c r="A15" s="5"/>
      <c r="B15" s="5"/>
      <c r="C15" s="5"/>
      <c r="D15" s="5"/>
    </row>
    <row r="16" ht="49.5" customHeight="1">
      <c r="A16" s="7" t="s">
        <v>122</v>
      </c>
      <c r="B16" s="9" t="s">
        <v>128</v>
      </c>
      <c r="C16" s="11"/>
      <c r="D16" s="13"/>
    </row>
    <row r="17">
      <c r="A17" s="5"/>
      <c r="B17" s="5"/>
      <c r="C17" s="5"/>
      <c r="D17" s="5"/>
    </row>
    <row r="18" ht="49.5" customHeight="1">
      <c r="A18" s="7" t="s">
        <v>141</v>
      </c>
      <c r="B18" s="9" t="s">
        <v>143</v>
      </c>
      <c r="C18" s="11"/>
      <c r="D18" s="13"/>
    </row>
    <row r="19">
      <c r="A19" s="5"/>
      <c r="B19" s="5"/>
      <c r="C19" s="5"/>
      <c r="D19" s="5"/>
    </row>
    <row r="20" ht="49.5" customHeight="1">
      <c r="A20" s="7" t="s">
        <v>160</v>
      </c>
      <c r="B20" s="9" t="s">
        <v>163</v>
      </c>
      <c r="C20" s="11"/>
      <c r="D20" s="13"/>
    </row>
    <row r="21" ht="15.75" customHeight="1">
      <c r="A21" s="5"/>
      <c r="B21" s="5"/>
      <c r="C21" s="5"/>
      <c r="D21" s="5"/>
    </row>
    <row r="22" ht="49.5" customHeight="1">
      <c r="A22" s="7" t="s">
        <v>173</v>
      </c>
      <c r="B22" s="9" t="s">
        <v>176</v>
      </c>
      <c r="C22" s="11"/>
      <c r="D22" s="13"/>
    </row>
    <row r="23" ht="15.75" customHeight="1">
      <c r="A23" s="5"/>
      <c r="B23" s="5"/>
      <c r="C23" s="5"/>
      <c r="D23" s="5"/>
    </row>
    <row r="24" ht="15.75" customHeight="1">
      <c r="A24" s="5"/>
      <c r="B24" s="5"/>
      <c r="C24" s="5"/>
      <c r="D24" s="5"/>
    </row>
    <row r="25" ht="21.75" customHeight="1">
      <c r="A25" s="18" t="s">
        <v>189</v>
      </c>
      <c r="B25" s="2"/>
      <c r="C25" s="2"/>
      <c r="D25" s="3"/>
    </row>
    <row r="26" ht="15.0" customHeight="1">
      <c r="A26" s="20" t="s">
        <v>205</v>
      </c>
      <c r="B26" s="20" t="s">
        <v>215</v>
      </c>
      <c r="C26" s="20"/>
      <c r="D26" s="20"/>
    </row>
    <row r="27" ht="15.0" customHeight="1">
      <c r="A27" s="21" t="s">
        <v>218</v>
      </c>
      <c r="B27" s="12" t="n">
        <f>COUNTIF('Test Cases'!A3:A152,"RBMP-*")</f>
        <v>121.0</v>
      </c>
      <c r="C27" s="5"/>
      <c r="D27" s="5"/>
    </row>
    <row r="28" ht="15.0" customHeight="1">
      <c r="A28" s="21" t="s">
        <v>226</v>
      </c>
      <c r="B28" s="12" t="n">
        <f>COUNTIF('Test Cases'!J3:J152,"Pass")</f>
        <v>9.0</v>
      </c>
      <c r="C28" s="5"/>
      <c r="D28" s="5"/>
    </row>
    <row r="29" ht="15.0" customHeight="1">
      <c r="A29" s="21" t="s">
        <v>228</v>
      </c>
      <c r="B29" s="12" t="n">
        <f>COUNTIF('Test Cases'!J3:J152,"Fail")</f>
        <v>0.0</v>
      </c>
      <c r="C29" s="5"/>
      <c r="D29" s="5"/>
    </row>
    <row r="30" ht="15.0" customHeight="1">
      <c r="A30" s="21" t="s">
        <v>230</v>
      </c>
      <c r="B30" s="12" t="n">
        <f>COUNTIF('Test Cases'!A3:A152,"RBMP-*")-COUNTIF('Test Cases'!J3:J152,"Pass")-COUNTIF('Test Cases'!J3:J152,"Fail")</f>
        <v>112.0</v>
      </c>
      <c r="C30" s="5"/>
      <c r="D30" s="5"/>
    </row>
    <row r="31" ht="15.0" customHeight="1">
      <c r="A31" s="21" t="s">
        <v>231</v>
      </c>
      <c r="B31" s="12" t="n">
        <f>COUNTIF('Test Cases'!K3:K152,"High")</f>
        <v>50.0</v>
      </c>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13">
    <mergeCell ref="B14:D14"/>
    <mergeCell ref="B16:D16"/>
    <mergeCell ref="B18:D18"/>
    <mergeCell ref="B20:D20"/>
    <mergeCell ref="B22:D22"/>
    <mergeCell ref="A25:D25"/>
    <mergeCell ref="A1:D1"/>
    <mergeCell ref="A2:D2"/>
    <mergeCell ref="B4:D4"/>
    <mergeCell ref="B6:D6"/>
    <mergeCell ref="B8:D8"/>
    <mergeCell ref="B10:D10"/>
    <mergeCell ref="B12:D1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E1000"/>
  <sheetViews>
    <sheetView showGridLines="0" workbookViewId="0">
      <pane ySplit="4.0" topLeftCell="A5" activePane="bottomLeft" state="frozen"/>
      <selection activeCell="B6" sqref="B6" pane="bottomLeft"/>
    </sheetView>
  </sheetViews>
  <sheetFormatPr customHeight="1" defaultColWidth="14.43" defaultRowHeight="15.0"/>
  <cols>
    <col min="1" max="1" customWidth="true" width="8.0"/>
    <col min="2" max="2" customWidth="true" width="22.0"/>
    <col min="3" max="3" customWidth="true" width="55.0"/>
    <col min="4" max="4" customWidth="true" width="40.0"/>
    <col min="5" max="5" customWidth="true" width="24.0"/>
    <col min="6" max="26" customWidth="true" width="8.71"/>
  </cols>
  <sheetData>
    <row r="1" ht="33.75" customHeight="1">
      <c r="A1" s="1" t="s">
        <v>2</v>
      </c>
      <c r="B1" s="2"/>
      <c r="C1" s="2"/>
      <c r="D1" s="2"/>
      <c r="E1" s="3"/>
    </row>
    <row r="2" ht="18.0" customHeight="1">
      <c r="A2" s="4" t="s">
        <v>49</v>
      </c>
    </row>
    <row r="3">
      <c r="A3" s="5"/>
      <c r="B3" s="5"/>
      <c r="C3" s="5"/>
      <c r="D3" s="5"/>
      <c r="E3" s="5"/>
    </row>
    <row r="4" ht="15.0" customHeight="1">
      <c r="A4" s="6" t="s">
        <v>65</v>
      </c>
      <c r="B4" s="6" t="s">
        <v>69</v>
      </c>
      <c r="C4" s="6" t="s">
        <v>70</v>
      </c>
      <c r="D4" s="6" t="s">
        <v>72</v>
      </c>
      <c r="E4" s="6" t="s">
        <v>74</v>
      </c>
    </row>
    <row r="5" ht="57.75" customHeight="1">
      <c r="A5" s="7" t="s">
        <v>78</v>
      </c>
      <c r="B5" s="16" t="s">
        <v>82</v>
      </c>
      <c r="C5" s="10" t="s">
        <v>97</v>
      </c>
      <c r="D5" s="10" t="s">
        <v>100</v>
      </c>
      <c r="E5" s="16" t="s">
        <v>101</v>
      </c>
    </row>
    <row r="6" ht="57.75" customHeight="1">
      <c r="A6" s="7" t="s">
        <v>105</v>
      </c>
      <c r="B6" s="16" t="s">
        <v>107</v>
      </c>
      <c r="C6" s="10" t="s">
        <v>109</v>
      </c>
      <c r="D6" s="10" t="s">
        <v>111</v>
      </c>
      <c r="E6" s="16" t="s">
        <v>113</v>
      </c>
    </row>
    <row r="7" ht="57.75" customHeight="1">
      <c r="A7" s="7" t="s">
        <v>116</v>
      </c>
      <c r="B7" s="16" t="s">
        <v>117</v>
      </c>
      <c r="C7" s="10" t="s">
        <v>119</v>
      </c>
      <c r="D7" s="10" t="s">
        <v>123</v>
      </c>
      <c r="E7" s="16" t="s">
        <v>126</v>
      </c>
    </row>
    <row r="8" ht="57.75" customHeight="1">
      <c r="A8" s="7" t="s">
        <v>130</v>
      </c>
      <c r="B8" s="16" t="s">
        <v>132</v>
      </c>
      <c r="C8" s="10" t="s">
        <v>133</v>
      </c>
      <c r="D8" s="10" t="s">
        <v>135</v>
      </c>
      <c r="E8" s="16" t="s">
        <v>137</v>
      </c>
    </row>
    <row r="9" ht="57.75" customHeight="1">
      <c r="A9" s="7" t="s">
        <v>138</v>
      </c>
      <c r="B9" s="16" t="s">
        <v>139</v>
      </c>
      <c r="C9" s="10" t="s">
        <v>142</v>
      </c>
      <c r="D9" s="10" t="s">
        <v>144</v>
      </c>
      <c r="E9" s="16" t="s">
        <v>145</v>
      </c>
    </row>
    <row r="10" ht="57.75" customHeight="1">
      <c r="A10" s="7" t="s">
        <v>148</v>
      </c>
      <c r="B10" s="16" t="s">
        <v>150</v>
      </c>
      <c r="C10" s="10" t="s">
        <v>153</v>
      </c>
      <c r="D10" s="10" t="s">
        <v>154</v>
      </c>
      <c r="E10" s="16" t="s">
        <v>156</v>
      </c>
    </row>
    <row r="11" ht="57.75" customHeight="1">
      <c r="A11" s="7" t="s">
        <v>158</v>
      </c>
      <c r="B11" s="16" t="s">
        <v>162</v>
      </c>
      <c r="C11" s="10" t="s">
        <v>164</v>
      </c>
      <c r="D11" s="10" t="s">
        <v>166</v>
      </c>
      <c r="E11" s="16" t="s">
        <v>167</v>
      </c>
    </row>
    <row r="12" ht="57.75" customHeight="1">
      <c r="A12" s="7" t="s">
        <v>168</v>
      </c>
      <c r="B12" s="16" t="s">
        <v>169</v>
      </c>
      <c r="C12" s="10" t="s">
        <v>170</v>
      </c>
      <c r="D12" s="10" t="s">
        <v>171</v>
      </c>
      <c r="E12" s="16" t="s">
        <v>172</v>
      </c>
    </row>
    <row r="13" ht="57.75" customHeight="1">
      <c r="A13" s="7" t="s">
        <v>174</v>
      </c>
      <c r="B13" s="16" t="s">
        <v>177</v>
      </c>
      <c r="C13" s="10" t="s">
        <v>178</v>
      </c>
      <c r="D13" s="10" t="s">
        <v>179</v>
      </c>
      <c r="E13" s="16" t="s">
        <v>180</v>
      </c>
    </row>
    <row r="14" ht="57.75" customHeight="1">
      <c r="A14" s="7" t="s">
        <v>181</v>
      </c>
      <c r="B14" s="16" t="s">
        <v>182</v>
      </c>
      <c r="C14" s="10" t="s">
        <v>183</v>
      </c>
      <c r="D14" s="10" t="s">
        <v>184</v>
      </c>
      <c r="E14" s="16" t="s">
        <v>185</v>
      </c>
    </row>
    <row r="15" ht="57.75" customHeight="1">
      <c r="A15" s="7" t="s">
        <v>186</v>
      </c>
      <c r="B15" s="16" t="s">
        <v>187</v>
      </c>
      <c r="C15" s="10" t="s">
        <v>188</v>
      </c>
      <c r="D15" s="10" t="s">
        <v>190</v>
      </c>
      <c r="E15" s="16" t="s">
        <v>192</v>
      </c>
    </row>
    <row r="16" ht="57.75" customHeight="1">
      <c r="A16" s="7" t="s">
        <v>194</v>
      </c>
      <c r="B16" s="16" t="s">
        <v>195</v>
      </c>
      <c r="C16" s="10" t="s">
        <v>196</v>
      </c>
      <c r="D16" s="10" t="s">
        <v>197</v>
      </c>
      <c r="E16" s="16" t="s">
        <v>198</v>
      </c>
    </row>
    <row r="17" ht="57.75" customHeight="1">
      <c r="A17" s="7" t="s">
        <v>199</v>
      </c>
      <c r="B17" s="16" t="s">
        <v>200</v>
      </c>
      <c r="C17" s="10" t="s">
        <v>201</v>
      </c>
      <c r="D17" s="10" t="s">
        <v>202</v>
      </c>
      <c r="E17" s="16" t="s">
        <v>203</v>
      </c>
    </row>
    <row r="18" ht="57.75" customHeight="1">
      <c r="A18" s="7" t="s">
        <v>204</v>
      </c>
      <c r="B18" s="16" t="s">
        <v>206</v>
      </c>
      <c r="C18" s="10" t="s">
        <v>208</v>
      </c>
      <c r="D18" s="10" t="s">
        <v>209</v>
      </c>
      <c r="E18" s="16" t="s">
        <v>210</v>
      </c>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autoFilter ref="$A$4:$E$18"/>
  <mergeCells count="2">
    <mergeCell ref="A1:E1"/>
    <mergeCell ref="A2:E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E1000"/>
  <sheetViews>
    <sheetView showGridLines="0" workbookViewId="0">
      <pane ySplit="4.0" topLeftCell="A5" activePane="bottomLeft" state="frozen"/>
      <selection activeCell="B6" sqref="B6" pane="bottomLeft"/>
    </sheetView>
  </sheetViews>
  <sheetFormatPr customHeight="1" defaultColWidth="14.43" defaultRowHeight="15.0"/>
  <cols>
    <col min="1" max="1" customWidth="true" width="10.0"/>
    <col min="2" max="2" customWidth="true" width="46.0"/>
    <col min="3" max="3" customWidth="true" width="26.0"/>
    <col min="4" max="4" customWidth="true" width="22.0"/>
    <col min="5" max="5" customWidth="true" width="34.0"/>
    <col min="6" max="26" customWidth="true" width="8.71"/>
  </cols>
  <sheetData>
    <row r="1" ht="33.75" customHeight="1">
      <c r="A1" s="1" t="s">
        <v>3</v>
      </c>
      <c r="B1" s="2"/>
      <c r="C1" s="2"/>
      <c r="D1" s="2"/>
      <c r="E1" s="3"/>
    </row>
    <row r="2" ht="18.0" customHeight="1">
      <c r="A2" s="4" t="s">
        <v>6</v>
      </c>
    </row>
    <row r="4">
      <c r="A4" s="6" t="s">
        <v>7</v>
      </c>
      <c r="B4" s="6" t="s">
        <v>10</v>
      </c>
      <c r="C4" s="6" t="s">
        <v>11</v>
      </c>
      <c r="D4" s="6" t="s">
        <v>12</v>
      </c>
      <c r="E4" s="6" t="s">
        <v>13</v>
      </c>
    </row>
    <row r="5" ht="39.75" customHeight="1">
      <c r="A5" s="8" t="s">
        <v>14</v>
      </c>
      <c r="B5" s="10" t="s">
        <v>16</v>
      </c>
      <c r="C5" s="12" t="s">
        <v>17</v>
      </c>
      <c r="D5" s="12" t="s">
        <v>18</v>
      </c>
      <c r="E5" s="12" t="s">
        <v>19</v>
      </c>
    </row>
    <row r="6" ht="39.75" customHeight="1">
      <c r="A6" s="8" t="s">
        <v>20</v>
      </c>
      <c r="B6" s="10" t="s">
        <v>21</v>
      </c>
      <c r="C6" s="12" t="s">
        <v>22</v>
      </c>
      <c r="D6" s="12" t="s">
        <v>23</v>
      </c>
      <c r="E6" s="12" t="s">
        <v>24</v>
      </c>
    </row>
    <row r="7" ht="39.75" customHeight="1">
      <c r="A7" s="8" t="s">
        <v>25</v>
      </c>
      <c r="B7" s="10" t="s">
        <v>26</v>
      </c>
      <c r="C7" s="12" t="s">
        <v>27</v>
      </c>
      <c r="D7" s="12" t="s">
        <v>28</v>
      </c>
      <c r="E7" s="12" t="s">
        <v>29</v>
      </c>
    </row>
    <row r="8" ht="39.75" customHeight="1">
      <c r="A8" s="8" t="s">
        <v>30</v>
      </c>
      <c r="B8" s="10" t="s">
        <v>31</v>
      </c>
      <c r="C8" s="12" t="s">
        <v>32</v>
      </c>
      <c r="D8" s="12" t="s">
        <v>33</v>
      </c>
      <c r="E8" s="12" t="s">
        <v>34</v>
      </c>
    </row>
    <row r="9" ht="39.75" customHeight="1">
      <c r="A9" s="8" t="s">
        <v>35</v>
      </c>
      <c r="B9" s="10" t="s">
        <v>36</v>
      </c>
      <c r="C9" s="12" t="s">
        <v>37</v>
      </c>
      <c r="D9" s="12" t="s">
        <v>38</v>
      </c>
      <c r="E9" s="12" t="s">
        <v>39</v>
      </c>
    </row>
    <row r="10" ht="39.75" customHeight="1">
      <c r="A10" s="8" t="s">
        <v>40</v>
      </c>
      <c r="B10" s="10" t="s">
        <v>41</v>
      </c>
      <c r="C10" s="12" t="s">
        <v>42</v>
      </c>
      <c r="D10" s="12" t="s">
        <v>43</v>
      </c>
      <c r="E10" s="12" t="s">
        <v>45</v>
      </c>
    </row>
    <row r="11" ht="39.75" customHeight="1">
      <c r="A11" s="8" t="s">
        <v>47</v>
      </c>
      <c r="B11" s="10" t="s">
        <v>48</v>
      </c>
      <c r="C11" s="12" t="s">
        <v>27</v>
      </c>
      <c r="D11" s="12" t="s">
        <v>50</v>
      </c>
      <c r="E11" s="12" t="s">
        <v>51</v>
      </c>
    </row>
    <row r="12" ht="39.75" customHeight="1">
      <c r="A12" s="8" t="s">
        <v>52</v>
      </c>
      <c r="B12" s="10" t="s">
        <v>53</v>
      </c>
      <c r="C12" s="12" t="s">
        <v>54</v>
      </c>
      <c r="D12" s="12" t="s">
        <v>55</v>
      </c>
      <c r="E12" s="12" t="s">
        <v>56</v>
      </c>
    </row>
    <row r="13" ht="39.75" customHeight="1">
      <c r="A13" s="8" t="s">
        <v>57</v>
      </c>
      <c r="B13" s="10" t="s">
        <v>59</v>
      </c>
      <c r="C13" s="12" t="s">
        <v>60</v>
      </c>
      <c r="D13" s="12" t="s">
        <v>61</v>
      </c>
      <c r="E13" s="12" t="s">
        <v>19</v>
      </c>
    </row>
    <row r="14" ht="39.75" customHeight="1">
      <c r="A14" s="8" t="s">
        <v>63</v>
      </c>
      <c r="B14" s="10" t="s">
        <v>64</v>
      </c>
      <c r="C14" s="12" t="s">
        <v>66</v>
      </c>
      <c r="D14" s="12" t="s">
        <v>67</v>
      </c>
      <c r="E14" s="12" t="s">
        <v>34</v>
      </c>
    </row>
    <row r="15" ht="39.75" customHeight="1">
      <c r="A15" s="8" t="s">
        <v>71</v>
      </c>
      <c r="B15" s="10" t="s">
        <v>73</v>
      </c>
      <c r="C15" s="12" t="s">
        <v>75</v>
      </c>
      <c r="D15" s="12" t="s">
        <v>76</v>
      </c>
      <c r="E15" s="12" t="s">
        <v>29</v>
      </c>
    </row>
    <row r="16" ht="39.75" customHeight="1">
      <c r="A16" s="8" t="s">
        <v>77</v>
      </c>
      <c r="B16" s="10" t="s">
        <v>79</v>
      </c>
      <c r="C16" s="12" t="s">
        <v>32</v>
      </c>
      <c r="D16" s="12" t="s">
        <v>80</v>
      </c>
      <c r="E16" s="12" t="s">
        <v>34</v>
      </c>
    </row>
    <row r="17" ht="39.75" customHeight="1">
      <c r="A17" s="8" t="s">
        <v>84</v>
      </c>
      <c r="B17" s="10" t="s">
        <v>85</v>
      </c>
      <c r="C17" s="12" t="s">
        <v>37</v>
      </c>
      <c r="D17" s="12" t="s">
        <v>86</v>
      </c>
      <c r="E17" s="12" t="s">
        <v>39</v>
      </c>
    </row>
    <row r="18" ht="39.75" customHeight="1">
      <c r="A18" s="8" t="s">
        <v>87</v>
      </c>
      <c r="B18" s="10" t="s">
        <v>88</v>
      </c>
      <c r="C18" s="12" t="s">
        <v>89</v>
      </c>
      <c r="D18" s="12" t="s">
        <v>90</v>
      </c>
      <c r="E18" s="12" t="s">
        <v>45</v>
      </c>
    </row>
    <row r="19" ht="39.75" customHeight="1">
      <c r="A19" s="8" t="s">
        <v>93</v>
      </c>
      <c r="B19" s="10" t="s">
        <v>95</v>
      </c>
      <c r="C19" s="12" t="s">
        <v>75</v>
      </c>
      <c r="D19" s="12" t="s">
        <v>96</v>
      </c>
      <c r="E19" s="12" t="s">
        <v>51</v>
      </c>
    </row>
    <row r="20" ht="39.75" customHeight="1">
      <c r="A20" s="8" t="s">
        <v>98</v>
      </c>
      <c r="B20" s="10" t="s">
        <v>99</v>
      </c>
      <c r="C20" s="12" t="s">
        <v>54</v>
      </c>
      <c r="D20" s="12" t="s">
        <v>103</v>
      </c>
      <c r="E20" s="12" t="s">
        <v>104</v>
      </c>
    </row>
    <row r="21" ht="39.75" customHeight="1">
      <c r="A21" s="8" t="s">
        <v>108</v>
      </c>
      <c r="B21" s="10" t="s">
        <v>110</v>
      </c>
      <c r="C21" s="12" t="s">
        <v>112</v>
      </c>
      <c r="D21" s="12" t="s">
        <v>114</v>
      </c>
      <c r="E21" s="12" t="s">
        <v>19</v>
      </c>
    </row>
    <row r="22" ht="39.75" customHeight="1">
      <c r="A22" s="8" t="s">
        <v>118</v>
      </c>
      <c r="B22" s="10" t="s">
        <v>120</v>
      </c>
      <c r="C22" s="12" t="s">
        <v>121</v>
      </c>
      <c r="D22" s="12" t="s">
        <v>125</v>
      </c>
      <c r="E22" s="12" t="s">
        <v>127</v>
      </c>
    </row>
    <row r="23" ht="39.75" customHeight="1">
      <c r="A23" s="8" t="s">
        <v>131</v>
      </c>
      <c r="B23" s="10" t="s">
        <v>146</v>
      </c>
      <c r="C23" s="12" t="s">
        <v>149</v>
      </c>
      <c r="D23" s="12" t="s">
        <v>151</v>
      </c>
      <c r="E23" s="12" t="s">
        <v>152</v>
      </c>
    </row>
    <row r="24" ht="39.75" customHeight="1">
      <c r="A24" s="8" t="s">
        <v>155</v>
      </c>
      <c r="B24" s="10" t="s">
        <v>157</v>
      </c>
      <c r="C24" s="12" t="s">
        <v>54</v>
      </c>
      <c r="D24" s="12" t="s">
        <v>159</v>
      </c>
      <c r="E24" s="12" t="s">
        <v>161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24"/>
  <mergeCells count="2">
    <mergeCell ref="A1:E1"/>
    <mergeCell ref="A2:E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00B050"/>
    <pageSetUpPr/>
  </sheetPr>
  <dimension ref="A1:Z1000"/>
  <sheetViews>
    <sheetView showGridLines="0" workbookViewId="0">
      <pane ySplit="2.0" topLeftCell="A3" activePane="bottomLeft" state="frozen"/>
      <selection activeCell="B4" sqref="B4" pane="bottomLeft"/>
    </sheetView>
  </sheetViews>
  <sheetFormatPr customHeight="1" defaultColWidth="14.43" defaultRowHeight="15.0"/>
  <cols>
    <col min="1" max="1" customWidth="true" width="19.0"/>
    <col min="2" max="2" customWidth="true" width="38.0"/>
    <col min="3" max="3" customWidth="true" width="34.0"/>
    <col min="4" max="4" customWidth="true" width="32.0"/>
    <col min="5" max="5" customWidth="true" width="34.0"/>
    <col min="6" max="6" customWidth="true" width="22.0"/>
    <col min="7" max="7" customWidth="true" width="34.0"/>
    <col min="8" max="8" customWidth="true" width="28.0"/>
    <col min="9" max="9" customWidth="true" width="18.0"/>
    <col min="10" max="10" customWidth="true" width="14.0"/>
    <col min="11" max="11" customWidth="true" width="12.0"/>
    <col min="12" max="12" customWidth="true" width="8.0"/>
    <col min="13" max="13" customWidth="true" width="12.0"/>
    <col min="14" max="14" customWidth="true" width="13.0"/>
    <col min="15" max="26" customWidth="true" width="8.71"/>
  </cols>
  <sheetData>
    <row r="1" ht="33.75" customHeight="1">
      <c r="A1" s="26" t="s">
        <v>232</v>
      </c>
      <c r="B1" s="27" t="s">
        <v>233</v>
      </c>
      <c r="C1" s="28"/>
      <c r="D1" s="29" t="n">
        <f>(COUNTIF(J11:J399,E1))/F1</f>
        <v>0.20512820512820512</v>
      </c>
      <c r="E1" s="30" t="s">
        <v>234</v>
      </c>
      <c r="F1" s="31" t="n">
        <f>COUNTIF(G11:G399,"&lt;&gt;")</f>
        <v>156.0</v>
      </c>
      <c r="G1" s="32" t="s">
        <v>235</v>
      </c>
      <c r="H1" s="28"/>
      <c r="I1" s="28"/>
      <c r="J1" s="28"/>
      <c r="K1" s="28"/>
      <c r="L1" s="28"/>
      <c r="M1" s="28"/>
      <c r="N1" s="28"/>
      <c r="O1" s="33"/>
      <c r="P1" s="33"/>
      <c r="Q1" s="33"/>
      <c r="R1" s="33"/>
      <c r="S1" s="33"/>
      <c r="T1" s="33"/>
      <c r="U1" s="33"/>
      <c r="V1" s="33"/>
      <c r="W1" s="33"/>
      <c r="X1" s="33"/>
      <c r="Y1" s="33"/>
      <c r="Z1" s="33"/>
    </row>
    <row r="2" ht="33.75" customHeight="1">
      <c r="A2" s="34" t="s">
        <v>236</v>
      </c>
      <c r="B2" s="26" t="s">
        <v>237</v>
      </c>
      <c r="C2" s="28"/>
      <c r="D2" s="35" t="n">
        <f>COUNTIF(J9:J59,E2)/F1</f>
        <v>0.0</v>
      </c>
      <c r="E2" s="36" t="s">
        <v>238</v>
      </c>
      <c r="F2" s="37" t="n">
        <f>ROWS(A:A)</f>
        <v>1000.0</v>
      </c>
      <c r="G2" s="38" t="s">
        <v>239</v>
      </c>
      <c r="H2" s="28"/>
      <c r="I2" s="28" t="s">
        <v>240</v>
      </c>
      <c r="J2" s="28"/>
      <c r="K2" s="28"/>
      <c r="L2" s="28"/>
      <c r="M2" s="28"/>
      <c r="N2" s="28"/>
      <c r="O2" s="33"/>
      <c r="P2" s="33"/>
      <c r="Q2" s="33"/>
      <c r="R2" s="33"/>
      <c r="S2" s="33"/>
      <c r="T2" s="33"/>
      <c r="U2" s="33"/>
      <c r="V2" s="33"/>
      <c r="W2" s="33"/>
      <c r="X2" s="33"/>
      <c r="Y2" s="33"/>
      <c r="Z2" s="33"/>
    </row>
    <row r="3" ht="33.75" customHeight="1">
      <c r="A3" s="34" t="s">
        <v>241</v>
      </c>
      <c r="B3" s="39" t="s">
        <v>242</v>
      </c>
      <c r="C3" s="28"/>
      <c r="D3" s="40" t="n">
        <f>COUNTIF(J9:J59,E3)/F1</f>
        <v>0.0</v>
      </c>
      <c r="E3" s="31" t="s">
        <v>243</v>
      </c>
      <c r="F3" s="28"/>
      <c r="G3" s="28"/>
      <c r="H3" s="28"/>
      <c r="I3" s="28" t="s">
        <v>244</v>
      </c>
      <c r="J3" s="28"/>
      <c r="K3" s="28"/>
      <c r="L3" s="28"/>
      <c r="M3" s="28"/>
      <c r="N3" s="28"/>
      <c r="O3" s="33"/>
      <c r="P3" s="33"/>
      <c r="Q3" s="33"/>
      <c r="R3" s="33"/>
      <c r="S3" s="33"/>
      <c r="T3" s="33"/>
      <c r="U3" s="33"/>
      <c r="V3" s="33"/>
      <c r="W3" s="33"/>
      <c r="X3" s="33"/>
      <c r="Y3" s="33"/>
      <c r="Z3" s="33"/>
    </row>
    <row r="4" ht="33.75" customHeight="1">
      <c r="A4" s="34" t="s">
        <v>245</v>
      </c>
      <c r="B4" s="26" t="s">
        <v>246</v>
      </c>
      <c r="C4" s="28"/>
      <c r="D4" s="41" t="n">
        <f>SUM(D1:D3)</f>
        <v>0.20512820512820512</v>
      </c>
      <c r="E4" s="42" t="s">
        <v>247</v>
      </c>
      <c r="F4" s="28"/>
      <c r="G4" s="28"/>
      <c r="H4" s="28"/>
      <c r="I4" s="28"/>
      <c r="J4" s="28"/>
      <c r="K4" s="28"/>
      <c r="L4" s="28"/>
      <c r="M4" s="28"/>
      <c r="N4" s="28"/>
      <c r="O4" s="33"/>
      <c r="P4" s="33"/>
      <c r="Q4" s="33"/>
      <c r="R4" s="33"/>
      <c r="S4" s="33"/>
      <c r="T4" s="33"/>
      <c r="U4" s="33"/>
      <c r="V4" s="33"/>
      <c r="W4" s="33"/>
      <c r="X4" s="33"/>
      <c r="Y4" s="33"/>
      <c r="Z4" s="33"/>
    </row>
    <row r="5" ht="33.75" customHeight="1">
      <c r="A5" s="34" t="s">
        <v>248</v>
      </c>
      <c r="B5" s="43">
        <v>45957.0</v>
      </c>
      <c r="C5" s="28"/>
      <c r="D5" s="28"/>
      <c r="E5" s="28"/>
      <c r="F5" s="28"/>
      <c r="G5" s="28"/>
      <c r="H5" s="28"/>
      <c r="I5" s="28"/>
      <c r="J5" s="28"/>
      <c r="K5" s="28"/>
      <c r="L5" s="28"/>
      <c r="M5" s="44"/>
      <c r="N5" s="28"/>
      <c r="O5" s="33"/>
      <c r="P5" s="33"/>
      <c r="Q5" s="33"/>
      <c r="R5" s="33"/>
      <c r="S5" s="33"/>
      <c r="T5" s="33"/>
      <c r="U5" s="33"/>
      <c r="V5" s="33"/>
      <c r="W5" s="33"/>
      <c r="X5" s="33"/>
      <c r="Y5" s="33"/>
      <c r="Z5" s="33"/>
    </row>
    <row r="6" ht="33.75" customHeight="1">
      <c r="A6" s="34" t="s">
        <v>249</v>
      </c>
      <c r="B6" s="45">
        <f>IFERROR(__xludf.DUMMYFUNCTION("TO_DATE(MAX(N:N))"),0.0)</f>
        <v>0</v>
      </c>
      <c r="C6" s="28"/>
      <c r="D6" s="28"/>
      <c r="E6" s="28"/>
      <c r="F6" s="28"/>
      <c r="G6" s="28"/>
      <c r="H6" s="28"/>
      <c r="I6" s="28"/>
      <c r="J6" s="28"/>
      <c r="K6" s="28"/>
      <c r="L6" s="28"/>
      <c r="M6" s="44"/>
      <c r="N6" s="28"/>
      <c r="O6" s="33"/>
      <c r="P6" s="33"/>
      <c r="Q6" s="33"/>
      <c r="R6" s="33"/>
      <c r="S6" s="33"/>
      <c r="T6" s="33"/>
      <c r="U6" s="33"/>
      <c r="V6" s="33"/>
      <c r="W6" s="33"/>
      <c r="X6" s="33"/>
      <c r="Y6" s="33"/>
      <c r="Z6" s="33"/>
    </row>
    <row r="7" ht="33.75" customHeight="1">
      <c r="A7" s="28"/>
      <c r="B7" s="28"/>
      <c r="C7" s="28"/>
      <c r="D7" s="28"/>
      <c r="E7" s="28"/>
      <c r="F7" s="28"/>
      <c r="G7" s="28"/>
      <c r="H7" s="28"/>
      <c r="I7" s="28"/>
      <c r="J7" s="28"/>
      <c r="K7" s="28"/>
      <c r="L7" s="28"/>
      <c r="M7" s="44"/>
      <c r="N7" s="28"/>
      <c r="O7" s="33"/>
      <c r="P7" s="33"/>
      <c r="Q7" s="33"/>
      <c r="R7" s="33"/>
      <c r="S7" s="33"/>
      <c r="T7" s="33"/>
      <c r="U7" s="33"/>
      <c r="V7" s="33"/>
      <c r="W7" s="33"/>
      <c r="X7" s="33"/>
      <c r="Y7" s="33"/>
      <c r="Z7" s="33"/>
    </row>
    <row r="8" ht="33.75" customHeight="1">
      <c r="A8" s="46" t="s">
        <v>250</v>
      </c>
      <c r="B8" s="47"/>
      <c r="C8" s="48"/>
      <c r="D8" s="48"/>
      <c r="E8" s="48"/>
      <c r="F8" s="48"/>
      <c r="G8" s="48"/>
      <c r="H8" s="48"/>
      <c r="I8" s="48"/>
      <c r="J8" s="48"/>
      <c r="K8" s="48"/>
      <c r="L8" s="48"/>
      <c r="M8" s="49"/>
      <c r="N8" s="48"/>
      <c r="O8" s="50"/>
      <c r="P8" s="50"/>
      <c r="Q8" s="50"/>
      <c r="R8" s="50"/>
      <c r="S8" s="50"/>
      <c r="T8" s="50"/>
      <c r="U8" s="50"/>
      <c r="V8" s="50"/>
      <c r="W8" s="50"/>
      <c r="X8" s="50"/>
      <c r="Y8" s="50"/>
      <c r="Z8" s="50"/>
    </row>
    <row r="9" ht="33.75" customHeight="1">
      <c r="A9" s="51" t="s">
        <v>251</v>
      </c>
      <c r="B9" s="2"/>
      <c r="C9" s="2"/>
      <c r="D9" s="2"/>
      <c r="E9" s="2"/>
      <c r="F9" s="2"/>
      <c r="G9" s="2"/>
      <c r="H9" s="2"/>
      <c r="I9" s="2"/>
      <c r="J9" s="2"/>
      <c r="K9" s="2"/>
      <c r="L9" s="2"/>
      <c r="M9" s="2"/>
      <c r="N9" s="3"/>
      <c r="O9" s="33"/>
      <c r="P9" s="33"/>
      <c r="Q9" s="33"/>
      <c r="R9" s="33"/>
      <c r="S9" s="33"/>
      <c r="T9" s="33"/>
      <c r="U9" s="33"/>
      <c r="V9" s="33"/>
      <c r="W9" s="33"/>
      <c r="X9" s="33"/>
      <c r="Y9" s="33"/>
      <c r="Z9" s="33"/>
    </row>
    <row r="10" ht="33.75" customHeight="1">
      <c r="A10" s="52" t="s">
        <v>252</v>
      </c>
      <c r="B10" s="52" t="s">
        <v>253</v>
      </c>
      <c r="C10" s="52" t="s">
        <v>254</v>
      </c>
      <c r="D10" s="53" t="s">
        <v>255</v>
      </c>
      <c r="E10" s="52" t="s">
        <v>256</v>
      </c>
      <c r="F10" s="52" t="s">
        <v>257</v>
      </c>
      <c r="G10" s="52" t="s">
        <v>258</v>
      </c>
      <c r="H10" s="52" t="s">
        <v>259</v>
      </c>
      <c r="I10" s="52" t="s">
        <v>260</v>
      </c>
      <c r="J10" s="52" t="s">
        <v>261</v>
      </c>
      <c r="K10" s="52" t="s">
        <v>224</v>
      </c>
      <c r="L10" s="52" t="s">
        <v>262</v>
      </c>
      <c r="M10" s="54" t="s">
        <v>263</v>
      </c>
      <c r="N10" s="52" t="s">
        <v>264</v>
      </c>
      <c r="O10" s="33"/>
      <c r="P10" s="33"/>
      <c r="Q10" s="33"/>
      <c r="R10" s="33"/>
      <c r="S10" s="33"/>
      <c r="T10" s="33"/>
      <c r="U10" s="33"/>
      <c r="V10" s="33"/>
      <c r="W10" s="33"/>
      <c r="X10" s="33"/>
      <c r="Y10" s="33"/>
      <c r="Z10" s="33"/>
    </row>
    <row r="11" ht="33.75" customHeight="1">
      <c r="A11" s="55" t="s">
        <v>265</v>
      </c>
      <c r="B11" s="2"/>
      <c r="C11" s="2"/>
      <c r="D11" s="2"/>
      <c r="E11" s="2"/>
      <c r="F11" s="2"/>
      <c r="G11" s="2"/>
      <c r="H11" s="2"/>
      <c r="I11" s="2"/>
      <c r="J11" s="2"/>
      <c r="K11" s="2"/>
      <c r="L11" s="2"/>
      <c r="M11" s="2"/>
      <c r="N11" s="3"/>
      <c r="O11" s="33"/>
      <c r="P11" s="33"/>
      <c r="Q11" s="33"/>
      <c r="R11" s="33"/>
      <c r="S11" s="33"/>
      <c r="T11" s="33"/>
      <c r="U11" s="33"/>
      <c r="V11" s="33"/>
      <c r="W11" s="33"/>
      <c r="X11" s="33"/>
      <c r="Y11" s="33"/>
      <c r="Z11" s="33"/>
    </row>
    <row r="12" ht="33.75" customHeight="1">
      <c r="A12" s="56" t="s">
        <v>266</v>
      </c>
      <c r="B12" s="2"/>
      <c r="C12" s="2"/>
      <c r="D12" s="2"/>
      <c r="E12" s="2"/>
      <c r="F12" s="2"/>
      <c r="G12" s="2"/>
      <c r="H12" s="2"/>
      <c r="I12" s="2"/>
      <c r="J12" s="2"/>
      <c r="K12" s="2"/>
      <c r="L12" s="2"/>
      <c r="M12" s="2"/>
      <c r="N12" s="3"/>
      <c r="O12" s="33"/>
      <c r="P12" s="33"/>
      <c r="Q12" s="33"/>
      <c r="R12" s="33"/>
      <c r="S12" s="33"/>
      <c r="T12" s="33"/>
      <c r="U12" s="33"/>
      <c r="V12" s="33"/>
      <c r="W12" s="33"/>
      <c r="X12" s="33"/>
      <c r="Y12" s="33"/>
      <c r="Z12" s="33"/>
    </row>
    <row r="13" ht="33.75" customHeight="1">
      <c r="A13" s="57" t="s">
        <v>267</v>
      </c>
      <c r="B13" s="57" t="s">
        <v>268</v>
      </c>
      <c r="C13" s="57" t="s">
        <v>269</v>
      </c>
      <c r="D13" s="58" t="s">
        <v>270</v>
      </c>
      <c r="E13" s="57" t="s">
        <v>271</v>
      </c>
      <c r="F13" s="57" t="s">
        <v>272</v>
      </c>
      <c r="G13" s="57" t="s">
        <v>273</v>
      </c>
      <c r="H13" s="57" t="s">
        <v>274</v>
      </c>
      <c r="I13" s="59"/>
      <c r="J13" s="59"/>
      <c r="K13" s="60" t="s">
        <v>225</v>
      </c>
      <c r="L13" s="57" t="s">
        <v>275</v>
      </c>
      <c r="M13" s="61">
        <v>46280.0</v>
      </c>
      <c r="N13" s="57" t="s">
        <v>276</v>
      </c>
      <c r="O13" s="33"/>
      <c r="P13" s="33"/>
      <c r="Q13" s="33"/>
      <c r="R13" s="33"/>
      <c r="S13" s="33"/>
      <c r="T13" s="33"/>
      <c r="U13" s="33"/>
      <c r="V13" s="33"/>
      <c r="W13" s="33"/>
      <c r="X13" s="33"/>
      <c r="Y13" s="33"/>
      <c r="Z13" s="33"/>
    </row>
    <row r="14" ht="33.75" customHeight="1">
      <c r="A14" s="57" t="s">
        <v>277</v>
      </c>
      <c r="B14" s="57" t="s">
        <v>278</v>
      </c>
      <c r="C14" s="57" t="s">
        <v>279</v>
      </c>
      <c r="D14" s="58" t="s">
        <v>280</v>
      </c>
      <c r="E14" s="57" t="s">
        <v>281</v>
      </c>
      <c r="F14" s="57" t="s">
        <v>282</v>
      </c>
      <c r="G14" s="57" t="s">
        <v>283</v>
      </c>
      <c r="H14" s="57" t="s">
        <v>284</v>
      </c>
      <c r="I14" s="59"/>
      <c r="J14" s="59"/>
      <c r="K14" s="62" t="s">
        <v>227</v>
      </c>
      <c r="L14" s="57" t="s">
        <v>275</v>
      </c>
      <c r="M14" s="61">
        <v>46280.0</v>
      </c>
      <c r="N14" s="57" t="s">
        <v>276</v>
      </c>
      <c r="O14" s="33"/>
      <c r="P14" s="33"/>
      <c r="Q14" s="33"/>
      <c r="R14" s="33"/>
      <c r="S14" s="33"/>
      <c r="T14" s="33"/>
      <c r="U14" s="33"/>
      <c r="V14" s="33"/>
      <c r="W14" s="33"/>
      <c r="X14" s="33"/>
      <c r="Y14" s="33"/>
      <c r="Z14" s="33"/>
    </row>
    <row r="15" ht="33.75" customHeight="1">
      <c r="A15" s="57" t="s">
        <v>285</v>
      </c>
      <c r="B15" s="57" t="s">
        <v>286</v>
      </c>
      <c r="C15" s="57" t="s">
        <v>287</v>
      </c>
      <c r="D15" s="58" t="s">
        <v>288</v>
      </c>
      <c r="E15" s="57" t="s">
        <v>289</v>
      </c>
      <c r="F15" s="57" t="s">
        <v>290</v>
      </c>
      <c r="G15" s="57" t="s">
        <v>291</v>
      </c>
      <c r="H15" s="57" t="s">
        <v>284</v>
      </c>
      <c r="I15" s="59"/>
      <c r="J15" s="59"/>
      <c r="K15" s="62" t="s">
        <v>227</v>
      </c>
      <c r="L15" s="57" t="s">
        <v>275</v>
      </c>
      <c r="M15" s="61">
        <v>46280.0</v>
      </c>
      <c r="N15" s="57" t="s">
        <v>276</v>
      </c>
      <c r="O15" s="33"/>
      <c r="P15" s="33"/>
      <c r="Q15" s="33"/>
      <c r="R15" s="33"/>
      <c r="S15" s="33"/>
      <c r="T15" s="33"/>
      <c r="U15" s="33"/>
      <c r="V15" s="33"/>
      <c r="W15" s="33"/>
      <c r="X15" s="33"/>
      <c r="Y15" s="33"/>
      <c r="Z15" s="33"/>
    </row>
    <row r="16" ht="33.75" customHeight="1">
      <c r="A16" s="57" t="s">
        <v>292</v>
      </c>
      <c r="B16" s="57" t="s">
        <v>293</v>
      </c>
      <c r="C16" s="57" t="s">
        <v>294</v>
      </c>
      <c r="D16" s="58" t="s">
        <v>280</v>
      </c>
      <c r="E16" s="57" t="s">
        <v>295</v>
      </c>
      <c r="F16" s="57" t="s">
        <v>296</v>
      </c>
      <c r="G16" s="57" t="s">
        <v>297</v>
      </c>
      <c r="H16" s="57" t="s">
        <v>298</v>
      </c>
      <c r="I16" s="59"/>
      <c r="J16" s="59"/>
      <c r="K16" s="60" t="s">
        <v>225</v>
      </c>
      <c r="L16" s="57" t="s">
        <v>275</v>
      </c>
      <c r="M16" s="61">
        <v>46280.0</v>
      </c>
      <c r="N16" s="57" t="s">
        <v>276</v>
      </c>
      <c r="O16" s="33"/>
      <c r="P16" s="33"/>
      <c r="Q16" s="33"/>
      <c r="R16" s="33"/>
      <c r="S16" s="33"/>
      <c r="T16" s="33"/>
      <c r="U16" s="33"/>
      <c r="V16" s="33"/>
      <c r="W16" s="33"/>
      <c r="X16" s="33"/>
      <c r="Y16" s="33"/>
      <c r="Z16" s="33"/>
    </row>
    <row r="17" ht="33.75" customHeight="1">
      <c r="A17" s="57" t="s">
        <v>299</v>
      </c>
      <c r="B17" s="57" t="s">
        <v>300</v>
      </c>
      <c r="C17" s="57" t="s">
        <v>301</v>
      </c>
      <c r="D17" s="58" t="s">
        <v>280</v>
      </c>
      <c r="E17" s="57" t="s">
        <v>302</v>
      </c>
      <c r="F17" s="57" t="s">
        <v>303</v>
      </c>
      <c r="G17" s="57" t="s">
        <v>304</v>
      </c>
      <c r="H17" s="57" t="s">
        <v>305</v>
      </c>
      <c r="I17" s="59"/>
      <c r="J17" s="59"/>
      <c r="K17" s="60" t="s">
        <v>225</v>
      </c>
      <c r="L17" s="57" t="s">
        <v>275</v>
      </c>
      <c r="M17" s="61">
        <v>46280.0</v>
      </c>
      <c r="N17" s="57" t="s">
        <v>276</v>
      </c>
      <c r="O17" s="33"/>
      <c r="P17" s="33"/>
      <c r="Q17" s="33"/>
      <c r="R17" s="33"/>
      <c r="S17" s="33"/>
      <c r="T17" s="33"/>
      <c r="U17" s="33"/>
      <c r="V17" s="33"/>
      <c r="W17" s="33"/>
      <c r="X17" s="33"/>
      <c r="Y17" s="33"/>
      <c r="Z17" s="33"/>
    </row>
    <row r="18" ht="33.75" customHeight="1">
      <c r="A18" s="57" t="s">
        <v>306</v>
      </c>
      <c r="B18" s="57" t="s">
        <v>307</v>
      </c>
      <c r="C18" s="57" t="s">
        <v>308</v>
      </c>
      <c r="D18" s="58" t="s">
        <v>309</v>
      </c>
      <c r="E18" s="57" t="s">
        <v>310</v>
      </c>
      <c r="F18" s="57" t="s">
        <v>311</v>
      </c>
      <c r="G18" s="57" t="s">
        <v>312</v>
      </c>
      <c r="H18" s="57" t="s">
        <v>313</v>
      </c>
      <c r="I18" s="59"/>
      <c r="J18" s="59"/>
      <c r="K18" s="63" t="s">
        <v>229</v>
      </c>
      <c r="L18" s="57" t="s">
        <v>275</v>
      </c>
      <c r="M18" s="61">
        <v>46280.0</v>
      </c>
      <c r="N18" s="64" t="s">
        <v>314</v>
      </c>
      <c r="O18" s="33"/>
      <c r="P18" s="33"/>
      <c r="Q18" s="33"/>
      <c r="R18" s="33"/>
      <c r="S18" s="33"/>
      <c r="T18" s="33"/>
      <c r="U18" s="33"/>
      <c r="V18" s="33"/>
      <c r="W18" s="33"/>
      <c r="X18" s="33"/>
      <c r="Y18" s="33"/>
      <c r="Z18" s="33"/>
    </row>
    <row r="19" ht="33.75" customHeight="1">
      <c r="A19" s="56" t="s">
        <v>315</v>
      </c>
      <c r="B19" s="2"/>
      <c r="C19" s="2"/>
      <c r="D19" s="2"/>
      <c r="E19" s="2"/>
      <c r="F19" s="2"/>
      <c r="G19" s="2"/>
      <c r="H19" s="2"/>
      <c r="I19" s="2"/>
      <c r="J19" s="2"/>
      <c r="K19" s="2"/>
      <c r="L19" s="2"/>
      <c r="M19" s="2"/>
      <c r="N19" s="3"/>
      <c r="O19" s="33"/>
      <c r="P19" s="33"/>
      <c r="Q19" s="33"/>
      <c r="R19" s="33"/>
      <c r="S19" s="33"/>
      <c r="T19" s="33"/>
      <c r="U19" s="33"/>
      <c r="V19" s="33"/>
      <c r="W19" s="33"/>
      <c r="X19" s="33"/>
      <c r="Y19" s="33"/>
      <c r="Z19" s="33"/>
    </row>
    <row r="20" ht="33.75" customHeight="1">
      <c r="A20" s="57" t="s">
        <v>316</v>
      </c>
      <c r="B20" s="57" t="s">
        <v>317</v>
      </c>
      <c r="C20" s="57" t="s">
        <v>318</v>
      </c>
      <c r="D20" s="58" t="s">
        <v>280</v>
      </c>
      <c r="E20" s="57" t="s">
        <v>319</v>
      </c>
      <c r="F20" s="57" t="s">
        <v>320</v>
      </c>
      <c r="G20" s="57" t="s">
        <v>321</v>
      </c>
      <c r="H20" s="57" t="s">
        <v>322</v>
      </c>
      <c r="I20" s="59"/>
      <c r="J20" s="59"/>
      <c r="K20" s="62" t="s">
        <v>227</v>
      </c>
      <c r="L20" s="57" t="s">
        <v>275</v>
      </c>
      <c r="M20" s="61">
        <v>46280.0</v>
      </c>
      <c r="N20" s="57" t="s">
        <v>276</v>
      </c>
      <c r="O20" s="33"/>
      <c r="P20" s="33"/>
      <c r="Q20" s="33"/>
      <c r="R20" s="33"/>
      <c r="S20" s="33"/>
      <c r="T20" s="33"/>
      <c r="U20" s="33"/>
      <c r="V20" s="33"/>
      <c r="W20" s="33"/>
      <c r="X20" s="33"/>
      <c r="Y20" s="33"/>
      <c r="Z20" s="33"/>
    </row>
    <row r="21" ht="33.75" customHeight="1">
      <c r="A21" s="57" t="s">
        <v>323</v>
      </c>
      <c r="B21" s="57" t="s">
        <v>324</v>
      </c>
      <c r="C21" s="57" t="s">
        <v>325</v>
      </c>
      <c r="D21" s="58" t="s">
        <v>280</v>
      </c>
      <c r="E21" s="57" t="s">
        <v>326</v>
      </c>
      <c r="F21" s="57" t="s">
        <v>1232</v>
      </c>
      <c r="G21" s="57" t="s">
        <v>1233</v>
      </c>
      <c r="H21" s="57" t="s">
        <v>329</v>
      </c>
      <c r="I21" s="59"/>
      <c r="J21" s="59" t="s">
        <v>234</v>
      </c>
      <c r="K21" s="60" t="s">
        <v>225</v>
      </c>
      <c r="L21" s="57" t="s">
        <v>827</v>
      </c>
      <c r="M21" s="61" t="s">
        <v>1229</v>
      </c>
      <c r="N21" s="57" t="s">
        <v>276</v>
      </c>
      <c r="O21" s="33"/>
      <c r="P21" s="33"/>
      <c r="Q21" s="33"/>
      <c r="R21" s="33"/>
      <c r="S21" s="33"/>
      <c r="T21" s="33"/>
      <c r="U21" s="33"/>
      <c r="V21" s="33"/>
      <c r="W21" s="33"/>
      <c r="X21" s="33"/>
      <c r="Y21" s="33"/>
      <c r="Z21" s="33"/>
    </row>
    <row r="22" ht="33.75" customHeight="1">
      <c r="A22" s="57" t="s">
        <v>330</v>
      </c>
      <c r="B22" s="57" t="s">
        <v>331</v>
      </c>
      <c r="C22" s="57" t="s">
        <v>332</v>
      </c>
      <c r="D22" s="58" t="s">
        <v>280</v>
      </c>
      <c r="E22" s="57" t="s">
        <v>333</v>
      </c>
      <c r="F22" s="57" t="s">
        <v>1230</v>
      </c>
      <c r="G22" s="57" t="s">
        <v>1231</v>
      </c>
      <c r="H22" s="57" t="s">
        <v>336</v>
      </c>
      <c r="I22" s="59"/>
      <c r="J22" s="59" t="s">
        <v>234</v>
      </c>
      <c r="K22" s="60" t="s">
        <v>225</v>
      </c>
      <c r="L22" s="57" t="s">
        <v>827</v>
      </c>
      <c r="M22" s="61" t="s">
        <v>1229</v>
      </c>
      <c r="N22" s="64" t="s">
        <v>337</v>
      </c>
      <c r="O22" s="33"/>
      <c r="P22" s="33"/>
      <c r="Q22" s="33"/>
      <c r="R22" s="33"/>
      <c r="S22" s="33"/>
      <c r="T22" s="33"/>
      <c r="U22" s="33"/>
      <c r="V22" s="33"/>
      <c r="W22" s="33"/>
      <c r="X22" s="33"/>
      <c r="Y22" s="33"/>
      <c r="Z22" s="33"/>
    </row>
    <row r="23" ht="33.75" customHeight="1">
      <c r="A23" s="57" t="s">
        <v>101</v>
      </c>
      <c r="B23" s="57" t="s">
        <v>338</v>
      </c>
      <c r="C23" s="57" t="s">
        <v>339</v>
      </c>
      <c r="D23" s="58" t="s">
        <v>340</v>
      </c>
      <c r="E23" s="57" t="s">
        <v>341</v>
      </c>
      <c r="F23" s="57" t="s">
        <v>1234</v>
      </c>
      <c r="G23" s="57" t="s">
        <v>1235</v>
      </c>
      <c r="H23" s="57" t="s">
        <v>344</v>
      </c>
      <c r="I23" s="59"/>
      <c r="J23" s="59" t="s">
        <v>234</v>
      </c>
      <c r="K23" s="60" t="s">
        <v>225</v>
      </c>
      <c r="L23" s="57" t="s">
        <v>827</v>
      </c>
      <c r="M23" s="61" t="s">
        <v>1229</v>
      </c>
      <c r="N23" s="64" t="s">
        <v>345</v>
      </c>
      <c r="O23" s="33"/>
      <c r="P23" s="33"/>
      <c r="Q23" s="33"/>
      <c r="R23" s="33"/>
      <c r="S23" s="33"/>
      <c r="T23" s="33"/>
      <c r="U23" s="33"/>
      <c r="V23" s="33"/>
      <c r="W23" s="33"/>
      <c r="X23" s="33"/>
      <c r="Y23" s="33"/>
      <c r="Z23" s="33"/>
    </row>
    <row r="24" ht="33.75" customHeight="1">
      <c r="A24" s="56" t="s">
        <v>346</v>
      </c>
      <c r="B24" s="2"/>
      <c r="C24" s="2"/>
      <c r="D24" s="2"/>
      <c r="E24" s="2"/>
      <c r="F24" s="2"/>
      <c r="G24" s="2"/>
      <c r="H24" s="2"/>
      <c r="I24" s="2"/>
      <c r="J24" s="2"/>
      <c r="K24" s="2"/>
      <c r="L24" s="2"/>
      <c r="M24" s="2"/>
      <c r="N24" s="3"/>
      <c r="O24" s="33"/>
      <c r="P24" s="33"/>
      <c r="Q24" s="33"/>
      <c r="R24" s="33"/>
      <c r="S24" s="33"/>
      <c r="T24" s="33"/>
      <c r="U24" s="33"/>
      <c r="V24" s="33"/>
      <c r="W24" s="33"/>
      <c r="X24" s="33"/>
      <c r="Y24" s="33"/>
      <c r="Z24" s="33"/>
    </row>
    <row r="25" ht="33.75" customHeight="1">
      <c r="A25" s="57" t="s">
        <v>347</v>
      </c>
      <c r="B25" s="57" t="s">
        <v>348</v>
      </c>
      <c r="C25" s="57" t="s">
        <v>349</v>
      </c>
      <c r="D25" s="58" t="s">
        <v>350</v>
      </c>
      <c r="E25" s="57" t="s">
        <v>351</v>
      </c>
      <c r="F25" s="57" t="s">
        <v>352</v>
      </c>
      <c r="G25" s="57" t="s">
        <v>353</v>
      </c>
      <c r="H25" s="57" t="s">
        <v>354</v>
      </c>
      <c r="I25" s="59"/>
      <c r="J25" s="59"/>
      <c r="K25" s="60" t="s">
        <v>225</v>
      </c>
      <c r="L25" s="57" t="s">
        <v>275</v>
      </c>
      <c r="M25" s="61">
        <v>46280.0</v>
      </c>
      <c r="N25" s="64" t="s">
        <v>276</v>
      </c>
      <c r="O25" s="33"/>
      <c r="P25" s="33"/>
      <c r="Q25" s="33"/>
      <c r="R25" s="33"/>
      <c r="S25" s="33"/>
      <c r="T25" s="33"/>
      <c r="U25" s="33"/>
      <c r="V25" s="33"/>
      <c r="W25" s="33"/>
      <c r="X25" s="33"/>
      <c r="Y25" s="33"/>
      <c r="Z25" s="33"/>
    </row>
    <row r="26" ht="33.75" customHeight="1">
      <c r="A26" s="57" t="s">
        <v>355</v>
      </c>
      <c r="B26" s="57" t="s">
        <v>356</v>
      </c>
      <c r="C26" s="57" t="s">
        <v>357</v>
      </c>
      <c r="D26" s="58" t="s">
        <v>350</v>
      </c>
      <c r="E26" s="57" t="s">
        <v>358</v>
      </c>
      <c r="F26" s="57" t="s">
        <v>359</v>
      </c>
      <c r="G26" s="57" t="s">
        <v>360</v>
      </c>
      <c r="H26" s="57" t="s">
        <v>361</v>
      </c>
      <c r="I26" s="59"/>
      <c r="J26" s="59"/>
      <c r="K26" s="62" t="s">
        <v>227</v>
      </c>
      <c r="L26" s="57" t="s">
        <v>275</v>
      </c>
      <c r="M26" s="61">
        <v>46280.0</v>
      </c>
      <c r="N26" s="57" t="s">
        <v>276</v>
      </c>
      <c r="O26" s="33"/>
      <c r="P26" s="33"/>
      <c r="Q26" s="33"/>
      <c r="R26" s="33"/>
      <c r="S26" s="33"/>
      <c r="T26" s="33"/>
      <c r="U26" s="33"/>
      <c r="V26" s="33"/>
      <c r="W26" s="33"/>
      <c r="X26" s="33"/>
      <c r="Y26" s="33"/>
      <c r="Z26" s="33"/>
    </row>
    <row r="27" ht="33.75" customHeight="1">
      <c r="A27" s="57" t="s">
        <v>362</v>
      </c>
      <c r="B27" s="57" t="s">
        <v>363</v>
      </c>
      <c r="C27" s="57" t="s">
        <v>364</v>
      </c>
      <c r="D27" s="58" t="s">
        <v>350</v>
      </c>
      <c r="E27" s="57" t="s">
        <v>365</v>
      </c>
      <c r="F27" s="57" t="s">
        <v>366</v>
      </c>
      <c r="G27" s="57" t="s">
        <v>367</v>
      </c>
      <c r="H27" s="57" t="s">
        <v>368</v>
      </c>
      <c r="I27" s="59"/>
      <c r="J27" s="59"/>
      <c r="K27" s="60" t="s">
        <v>225</v>
      </c>
      <c r="L27" s="57" t="s">
        <v>275</v>
      </c>
      <c r="M27" s="61">
        <v>46280.0</v>
      </c>
      <c r="N27" s="64" t="s">
        <v>337</v>
      </c>
      <c r="O27" s="33"/>
      <c r="P27" s="33"/>
      <c r="Q27" s="33"/>
      <c r="R27" s="33"/>
      <c r="S27" s="33"/>
      <c r="T27" s="33"/>
      <c r="U27" s="33"/>
      <c r="V27" s="33"/>
      <c r="W27" s="33"/>
      <c r="X27" s="33"/>
      <c r="Y27" s="33"/>
      <c r="Z27" s="33"/>
    </row>
    <row r="28" ht="33.75" customHeight="1">
      <c r="A28" s="57" t="s">
        <v>369</v>
      </c>
      <c r="B28" s="57" t="s">
        <v>370</v>
      </c>
      <c r="C28" s="57" t="s">
        <v>371</v>
      </c>
      <c r="D28" s="58" t="s">
        <v>350</v>
      </c>
      <c r="E28" s="57" t="s">
        <v>372</v>
      </c>
      <c r="F28" s="57" t="s">
        <v>373</v>
      </c>
      <c r="G28" s="57" t="s">
        <v>374</v>
      </c>
      <c r="H28" s="65" t="s">
        <v>375</v>
      </c>
      <c r="I28" s="59"/>
      <c r="J28" s="59"/>
      <c r="K28" s="60" t="s">
        <v>225</v>
      </c>
      <c r="L28" s="57" t="s">
        <v>275</v>
      </c>
      <c r="M28" s="61">
        <v>46280.0</v>
      </c>
      <c r="N28" s="64" t="s">
        <v>337</v>
      </c>
      <c r="O28" s="33"/>
      <c r="P28" s="33"/>
      <c r="Q28" s="33"/>
      <c r="R28" s="33"/>
      <c r="S28" s="33"/>
      <c r="T28" s="33"/>
      <c r="U28" s="33"/>
      <c r="V28" s="33"/>
      <c r="W28" s="33"/>
      <c r="X28" s="33"/>
      <c r="Y28" s="33"/>
      <c r="Z28" s="33"/>
    </row>
    <row r="29" ht="33.75" customHeight="1">
      <c r="A29" s="57" t="s">
        <v>376</v>
      </c>
      <c r="B29" s="57" t="s">
        <v>377</v>
      </c>
      <c r="C29" s="57" t="s">
        <v>378</v>
      </c>
      <c r="D29" s="58" t="s">
        <v>379</v>
      </c>
      <c r="E29" s="57" t="s">
        <v>380</v>
      </c>
      <c r="F29" s="57" t="s">
        <v>381</v>
      </c>
      <c r="G29" s="57" t="s">
        <v>382</v>
      </c>
      <c r="H29" s="57" t="s">
        <v>383</v>
      </c>
      <c r="I29" s="59"/>
      <c r="J29" s="59"/>
      <c r="K29" s="60" t="s">
        <v>225</v>
      </c>
      <c r="L29" s="57" t="s">
        <v>275</v>
      </c>
      <c r="M29" s="61">
        <v>46280.0</v>
      </c>
      <c r="N29" s="64" t="s">
        <v>337</v>
      </c>
      <c r="O29" s="33"/>
      <c r="P29" s="33"/>
      <c r="Q29" s="33"/>
      <c r="R29" s="33"/>
      <c r="S29" s="33"/>
      <c r="T29" s="33"/>
      <c r="U29" s="33"/>
      <c r="V29" s="33"/>
      <c r="W29" s="33"/>
      <c r="X29" s="33"/>
      <c r="Y29" s="33"/>
      <c r="Z29" s="33"/>
    </row>
    <row r="30" ht="33.75" customHeight="1">
      <c r="A30" s="57" t="s">
        <v>384</v>
      </c>
      <c r="B30" s="57" t="s">
        <v>385</v>
      </c>
      <c r="C30" s="57" t="s">
        <v>386</v>
      </c>
      <c r="D30" s="58" t="s">
        <v>387</v>
      </c>
      <c r="E30" s="57" t="s">
        <v>388</v>
      </c>
      <c r="F30" s="57" t="s">
        <v>389</v>
      </c>
      <c r="G30" s="57" t="s">
        <v>390</v>
      </c>
      <c r="H30" s="57" t="s">
        <v>391</v>
      </c>
      <c r="I30" s="59"/>
      <c r="J30" s="59"/>
      <c r="K30" s="62" t="s">
        <v>227</v>
      </c>
      <c r="L30" s="57" t="s">
        <v>275</v>
      </c>
      <c r="M30" s="61">
        <v>46280.0</v>
      </c>
      <c r="N30" s="64" t="s">
        <v>276</v>
      </c>
      <c r="O30" s="33"/>
      <c r="P30" s="33"/>
      <c r="Q30" s="33"/>
      <c r="R30" s="33"/>
      <c r="S30" s="33"/>
      <c r="T30" s="33"/>
      <c r="U30" s="33"/>
      <c r="V30" s="33"/>
      <c r="W30" s="33"/>
      <c r="X30" s="33"/>
      <c r="Y30" s="33"/>
      <c r="Z30" s="33"/>
    </row>
    <row r="31" ht="33.75" customHeight="1">
      <c r="A31" s="57" t="s">
        <v>392</v>
      </c>
      <c r="B31" s="57" t="s">
        <v>393</v>
      </c>
      <c r="C31" s="57" t="s">
        <v>394</v>
      </c>
      <c r="D31" s="58" t="s">
        <v>350</v>
      </c>
      <c r="E31" s="57" t="s">
        <v>395</v>
      </c>
      <c r="F31" s="57" t="s">
        <v>396</v>
      </c>
      <c r="G31" s="57" t="s">
        <v>397</v>
      </c>
      <c r="H31" s="57" t="s">
        <v>398</v>
      </c>
      <c r="I31" s="59"/>
      <c r="J31" s="59"/>
      <c r="K31" s="62" t="s">
        <v>227</v>
      </c>
      <c r="L31" s="57" t="s">
        <v>275</v>
      </c>
      <c r="M31" s="61">
        <v>46280.0</v>
      </c>
      <c r="N31" s="57" t="s">
        <v>276</v>
      </c>
      <c r="O31" s="33"/>
      <c r="P31" s="33"/>
      <c r="Q31" s="33"/>
      <c r="R31" s="33"/>
      <c r="S31" s="33"/>
      <c r="T31" s="33"/>
      <c r="U31" s="33"/>
      <c r="V31" s="33"/>
      <c r="W31" s="33"/>
      <c r="X31" s="33"/>
      <c r="Y31" s="33"/>
      <c r="Z31" s="33"/>
    </row>
    <row r="32" ht="33.75" customHeight="1">
      <c r="A32" s="57" t="s">
        <v>399</v>
      </c>
      <c r="B32" s="57" t="s">
        <v>400</v>
      </c>
      <c r="C32" s="57" t="s">
        <v>401</v>
      </c>
      <c r="D32" s="58" t="s">
        <v>350</v>
      </c>
      <c r="E32" s="57" t="s">
        <v>402</v>
      </c>
      <c r="F32" s="57" t="s">
        <v>403</v>
      </c>
      <c r="G32" s="57" t="s">
        <v>404</v>
      </c>
      <c r="H32" s="57" t="s">
        <v>405</v>
      </c>
      <c r="I32" s="59"/>
      <c r="J32" s="59"/>
      <c r="K32" s="62" t="s">
        <v>227</v>
      </c>
      <c r="L32" s="57" t="s">
        <v>275</v>
      </c>
      <c r="M32" s="61">
        <v>46280.0</v>
      </c>
      <c r="N32" s="64" t="s">
        <v>276</v>
      </c>
      <c r="O32" s="33"/>
      <c r="P32" s="33"/>
      <c r="Q32" s="33"/>
      <c r="R32" s="33"/>
      <c r="S32" s="33"/>
      <c r="T32" s="33"/>
      <c r="U32" s="33"/>
      <c r="V32" s="33"/>
      <c r="W32" s="33"/>
      <c r="X32" s="33"/>
      <c r="Y32" s="33"/>
      <c r="Z32" s="33"/>
    </row>
    <row r="33" ht="33.75" customHeight="1">
      <c r="A33" s="57" t="s">
        <v>406</v>
      </c>
      <c r="B33" s="57" t="s">
        <v>407</v>
      </c>
      <c r="C33" s="57" t="s">
        <v>408</v>
      </c>
      <c r="D33" s="58" t="s">
        <v>350</v>
      </c>
      <c r="E33" s="57" t="s">
        <v>409</v>
      </c>
      <c r="F33" s="57" t="s">
        <v>410</v>
      </c>
      <c r="G33" s="57" t="s">
        <v>411</v>
      </c>
      <c r="H33" s="57" t="s">
        <v>368</v>
      </c>
      <c r="I33" s="59"/>
      <c r="J33" s="59"/>
      <c r="K33" s="62" t="s">
        <v>227</v>
      </c>
      <c r="L33" s="57" t="s">
        <v>275</v>
      </c>
      <c r="M33" s="61">
        <v>46280.0</v>
      </c>
      <c r="N33" s="64" t="s">
        <v>276</v>
      </c>
      <c r="O33" s="33"/>
      <c r="P33" s="33"/>
      <c r="Q33" s="33"/>
      <c r="R33" s="33"/>
      <c r="S33" s="33"/>
      <c r="T33" s="33"/>
      <c r="U33" s="33"/>
      <c r="V33" s="33"/>
      <c r="W33" s="33"/>
      <c r="X33" s="33"/>
      <c r="Y33" s="33"/>
      <c r="Z33" s="33"/>
    </row>
    <row r="34" ht="33.75" customHeight="1">
      <c r="A34" s="57" t="s">
        <v>412</v>
      </c>
      <c r="B34" s="57" t="s">
        <v>413</v>
      </c>
      <c r="C34" s="57" t="s">
        <v>414</v>
      </c>
      <c r="D34" s="58" t="s">
        <v>415</v>
      </c>
      <c r="E34" s="57" t="s">
        <v>416</v>
      </c>
      <c r="F34" s="57" t="s">
        <v>417</v>
      </c>
      <c r="G34" s="57" t="s">
        <v>418</v>
      </c>
      <c r="H34" s="57" t="s">
        <v>419</v>
      </c>
      <c r="I34" s="59"/>
      <c r="J34" s="59"/>
      <c r="K34" s="63" t="s">
        <v>229</v>
      </c>
      <c r="L34" s="57" t="s">
        <v>275</v>
      </c>
      <c r="M34" s="61">
        <v>46280.0</v>
      </c>
      <c r="N34" s="64" t="s">
        <v>337</v>
      </c>
      <c r="O34" s="33"/>
      <c r="P34" s="33"/>
      <c r="Q34" s="33"/>
      <c r="R34" s="33"/>
      <c r="S34" s="33"/>
      <c r="T34" s="33"/>
      <c r="U34" s="33"/>
      <c r="V34" s="33"/>
      <c r="W34" s="33"/>
      <c r="X34" s="33"/>
      <c r="Y34" s="33"/>
      <c r="Z34" s="33"/>
    </row>
    <row r="35" ht="33.75" customHeight="1">
      <c r="A35" s="57" t="s">
        <v>420</v>
      </c>
      <c r="B35" s="57" t="s">
        <v>421</v>
      </c>
      <c r="C35" s="57" t="s">
        <v>422</v>
      </c>
      <c r="D35" s="58" t="s">
        <v>350</v>
      </c>
      <c r="E35" s="57" t="s">
        <v>423</v>
      </c>
      <c r="F35" s="57" t="s">
        <v>424</v>
      </c>
      <c r="G35" s="57" t="s">
        <v>425</v>
      </c>
      <c r="H35" s="57" t="s">
        <v>426</v>
      </c>
      <c r="I35" s="59"/>
      <c r="J35" s="59"/>
      <c r="K35" s="63" t="s">
        <v>229</v>
      </c>
      <c r="L35" s="57" t="s">
        <v>275</v>
      </c>
      <c r="M35" s="61">
        <v>46280.0</v>
      </c>
      <c r="N35" s="64" t="s">
        <v>427</v>
      </c>
      <c r="O35" s="33"/>
      <c r="P35" s="33"/>
      <c r="Q35" s="33"/>
      <c r="R35" s="33"/>
      <c r="S35" s="33"/>
      <c r="T35" s="33"/>
      <c r="U35" s="33"/>
      <c r="V35" s="33"/>
      <c r="W35" s="33"/>
      <c r="X35" s="33"/>
      <c r="Y35" s="33"/>
      <c r="Z35" s="33"/>
    </row>
    <row r="36" ht="33.75" customHeight="1">
      <c r="A36" s="56" t="s">
        <v>428</v>
      </c>
      <c r="B36" s="2"/>
      <c r="C36" s="2"/>
      <c r="D36" s="2"/>
      <c r="E36" s="2"/>
      <c r="F36" s="2"/>
      <c r="G36" s="2"/>
      <c r="H36" s="2"/>
      <c r="I36" s="2"/>
      <c r="J36" s="2"/>
      <c r="K36" s="2"/>
      <c r="L36" s="2"/>
      <c r="M36" s="2"/>
      <c r="N36" s="3"/>
      <c r="O36" s="33"/>
      <c r="P36" s="33"/>
      <c r="Q36" s="33"/>
      <c r="R36" s="33"/>
      <c r="S36" s="33"/>
      <c r="T36" s="33"/>
      <c r="U36" s="33"/>
      <c r="V36" s="33"/>
      <c r="W36" s="33"/>
      <c r="X36" s="33"/>
      <c r="Y36" s="33"/>
      <c r="Z36" s="33"/>
    </row>
    <row r="37" ht="33.75" customHeight="1">
      <c r="A37" s="57" t="s">
        <v>429</v>
      </c>
      <c r="B37" s="57" t="s">
        <v>430</v>
      </c>
      <c r="C37" s="57" t="s">
        <v>431</v>
      </c>
      <c r="D37" s="58" t="s">
        <v>432</v>
      </c>
      <c r="E37" s="57" t="s">
        <v>433</v>
      </c>
      <c r="F37" s="57" t="s">
        <v>434</v>
      </c>
      <c r="G37" s="57" t="s">
        <v>435</v>
      </c>
      <c r="H37" s="57" t="s">
        <v>436</v>
      </c>
      <c r="I37" s="59"/>
      <c r="J37" s="59"/>
      <c r="K37" s="62" t="s">
        <v>227</v>
      </c>
      <c r="L37" s="57" t="s">
        <v>275</v>
      </c>
      <c r="M37" s="61">
        <v>46280.0</v>
      </c>
      <c r="N37" s="64" t="s">
        <v>276</v>
      </c>
      <c r="O37" s="33"/>
      <c r="P37" s="33"/>
      <c r="Q37" s="33"/>
      <c r="R37" s="33"/>
      <c r="S37" s="33"/>
      <c r="T37" s="33"/>
      <c r="U37" s="33"/>
      <c r="V37" s="33"/>
      <c r="W37" s="33"/>
      <c r="X37" s="33"/>
      <c r="Y37" s="33"/>
      <c r="Z37" s="33"/>
    </row>
    <row r="38" ht="33.75" customHeight="1">
      <c r="A38" s="57" t="s">
        <v>437</v>
      </c>
      <c r="B38" s="57" t="s">
        <v>438</v>
      </c>
      <c r="C38" s="57" t="s">
        <v>439</v>
      </c>
      <c r="D38" s="58" t="s">
        <v>432</v>
      </c>
      <c r="E38" s="57" t="s">
        <v>440</v>
      </c>
      <c r="F38" s="57" t="s">
        <v>441</v>
      </c>
      <c r="G38" s="57" t="s">
        <v>442</v>
      </c>
      <c r="H38" s="57" t="s">
        <v>443</v>
      </c>
      <c r="I38" s="59"/>
      <c r="J38" s="59"/>
      <c r="K38" s="60" t="s">
        <v>225</v>
      </c>
      <c r="L38" s="57" t="s">
        <v>275</v>
      </c>
      <c r="M38" s="61">
        <v>46280.0</v>
      </c>
      <c r="N38" s="64" t="s">
        <v>276</v>
      </c>
      <c r="O38" s="33"/>
      <c r="P38" s="33"/>
      <c r="Q38" s="33"/>
      <c r="R38" s="33"/>
      <c r="S38" s="33"/>
      <c r="T38" s="33"/>
      <c r="U38" s="33"/>
      <c r="V38" s="33"/>
      <c r="W38" s="33"/>
      <c r="X38" s="33"/>
      <c r="Y38" s="33"/>
      <c r="Z38" s="33"/>
    </row>
    <row r="39" ht="33.75" customHeight="1">
      <c r="A39" s="57" t="s">
        <v>444</v>
      </c>
      <c r="B39" s="57" t="s">
        <v>445</v>
      </c>
      <c r="C39" s="57" t="s">
        <v>446</v>
      </c>
      <c r="D39" s="58" t="s">
        <v>447</v>
      </c>
      <c r="E39" s="57" t="s">
        <v>448</v>
      </c>
      <c r="F39" s="57" t="s">
        <v>449</v>
      </c>
      <c r="G39" s="57" t="s">
        <v>450</v>
      </c>
      <c r="H39" s="57" t="s">
        <v>451</v>
      </c>
      <c r="I39" s="59"/>
      <c r="J39" s="59"/>
      <c r="K39" s="60" t="s">
        <v>225</v>
      </c>
      <c r="L39" s="57" t="s">
        <v>275</v>
      </c>
      <c r="M39" s="61">
        <v>46280.0</v>
      </c>
      <c r="N39" s="64" t="s">
        <v>337</v>
      </c>
      <c r="O39" s="33"/>
      <c r="P39" s="33"/>
      <c r="Q39" s="33"/>
      <c r="R39" s="33"/>
      <c r="S39" s="33"/>
      <c r="T39" s="33"/>
      <c r="U39" s="33"/>
      <c r="V39" s="33"/>
      <c r="W39" s="33"/>
      <c r="X39" s="33"/>
      <c r="Y39" s="33"/>
      <c r="Z39" s="33"/>
    </row>
    <row r="40" ht="33.75" customHeight="1">
      <c r="A40" s="57" t="s">
        <v>452</v>
      </c>
      <c r="B40" s="57" t="s">
        <v>453</v>
      </c>
      <c r="C40" s="57" t="s">
        <v>454</v>
      </c>
      <c r="D40" s="58" t="s">
        <v>432</v>
      </c>
      <c r="E40" s="57" t="s">
        <v>455</v>
      </c>
      <c r="F40" s="57" t="s">
        <v>456</v>
      </c>
      <c r="G40" s="57" t="s">
        <v>457</v>
      </c>
      <c r="H40" s="57" t="s">
        <v>458</v>
      </c>
      <c r="I40" s="59"/>
      <c r="J40" s="59"/>
      <c r="K40" s="62" t="s">
        <v>227</v>
      </c>
      <c r="L40" s="57" t="s">
        <v>275</v>
      </c>
      <c r="M40" s="61">
        <v>46280.0</v>
      </c>
      <c r="N40" s="64" t="s">
        <v>276</v>
      </c>
      <c r="O40" s="33"/>
      <c r="P40" s="33"/>
      <c r="Q40" s="33"/>
      <c r="R40" s="33"/>
      <c r="S40" s="33"/>
      <c r="T40" s="33"/>
      <c r="U40" s="33"/>
      <c r="V40" s="33"/>
      <c r="W40" s="33"/>
      <c r="X40" s="33"/>
      <c r="Y40" s="33"/>
      <c r="Z40" s="33"/>
    </row>
    <row r="41" ht="33.75" customHeight="1">
      <c r="A41" s="57" t="s">
        <v>459</v>
      </c>
      <c r="B41" s="57" t="s">
        <v>460</v>
      </c>
      <c r="C41" s="57" t="s">
        <v>461</v>
      </c>
      <c r="D41" s="58" t="s">
        <v>432</v>
      </c>
      <c r="E41" s="57" t="s">
        <v>462</v>
      </c>
      <c r="F41" s="57" t="s">
        <v>1238</v>
      </c>
      <c r="G41" s="57" t="s">
        <v>1223</v>
      </c>
      <c r="H41" s="57" t="s">
        <v>465</v>
      </c>
      <c r="I41" s="59"/>
      <c r="J41" s="59" t="s">
        <v>234</v>
      </c>
      <c r="K41" s="62" t="s">
        <v>227</v>
      </c>
      <c r="L41" s="57" t="s">
        <v>827</v>
      </c>
      <c r="M41" s="61" t="s">
        <v>1229</v>
      </c>
      <c r="N41" s="64" t="s">
        <v>276</v>
      </c>
      <c r="O41" s="33"/>
      <c r="P41" s="33"/>
      <c r="Q41" s="33"/>
      <c r="R41" s="33"/>
      <c r="S41" s="33"/>
      <c r="T41" s="33"/>
      <c r="U41" s="33"/>
      <c r="V41" s="33"/>
      <c r="W41" s="33"/>
      <c r="X41" s="33"/>
      <c r="Y41" s="33"/>
      <c r="Z41" s="33"/>
    </row>
    <row r="42" ht="33.75" customHeight="1">
      <c r="A42" s="57" t="s">
        <v>466</v>
      </c>
      <c r="B42" s="57" t="s">
        <v>467</v>
      </c>
      <c r="C42" s="57" t="s">
        <v>468</v>
      </c>
      <c r="D42" s="58" t="s">
        <v>432</v>
      </c>
      <c r="E42" s="57" t="s">
        <v>469</v>
      </c>
      <c r="F42" s="57" t="s">
        <v>470</v>
      </c>
      <c r="G42" s="57" t="s">
        <v>471</v>
      </c>
      <c r="H42" s="57" t="s">
        <v>472</v>
      </c>
      <c r="I42" s="59"/>
      <c r="J42" s="59"/>
      <c r="K42" s="62" t="s">
        <v>227</v>
      </c>
      <c r="L42" s="57" t="s">
        <v>275</v>
      </c>
      <c r="M42" s="61">
        <v>46280.0</v>
      </c>
      <c r="N42" s="64" t="s">
        <v>276</v>
      </c>
      <c r="O42" s="33"/>
      <c r="P42" s="33"/>
      <c r="Q42" s="33"/>
      <c r="R42" s="33"/>
      <c r="S42" s="33"/>
      <c r="T42" s="33"/>
      <c r="U42" s="33"/>
      <c r="V42" s="33"/>
      <c r="W42" s="33"/>
      <c r="X42" s="33"/>
      <c r="Y42" s="33"/>
      <c r="Z42" s="33"/>
    </row>
    <row r="43" ht="33.75" customHeight="1">
      <c r="A43" s="57" t="s">
        <v>473</v>
      </c>
      <c r="B43" s="57" t="s">
        <v>474</v>
      </c>
      <c r="C43" s="57" t="s">
        <v>475</v>
      </c>
      <c r="D43" s="58" t="s">
        <v>432</v>
      </c>
      <c r="E43" s="57" t="s">
        <v>476</v>
      </c>
      <c r="F43" s="57" t="s">
        <v>359</v>
      </c>
      <c r="G43" s="57" t="s">
        <v>477</v>
      </c>
      <c r="H43" s="57" t="s">
        <v>478</v>
      </c>
      <c r="I43" s="59"/>
      <c r="J43" s="59"/>
      <c r="K43" s="62" t="s">
        <v>227</v>
      </c>
      <c r="L43" s="57" t="s">
        <v>275</v>
      </c>
      <c r="M43" s="61">
        <v>46280.0</v>
      </c>
      <c r="N43" s="64" t="s">
        <v>337</v>
      </c>
      <c r="O43" s="33"/>
      <c r="P43" s="33"/>
      <c r="Q43" s="33"/>
      <c r="R43" s="33"/>
      <c r="S43" s="33"/>
      <c r="T43" s="33"/>
      <c r="U43" s="33"/>
      <c r="V43" s="33"/>
      <c r="W43" s="33"/>
      <c r="X43" s="33"/>
      <c r="Y43" s="33"/>
      <c r="Z43" s="33"/>
    </row>
    <row r="44" ht="33.75" customHeight="1">
      <c r="A44" s="57" t="s">
        <v>479</v>
      </c>
      <c r="B44" s="57" t="s">
        <v>480</v>
      </c>
      <c r="C44" s="57" t="s">
        <v>481</v>
      </c>
      <c r="D44" s="58" t="s">
        <v>432</v>
      </c>
      <c r="E44" s="57" t="s">
        <v>482</v>
      </c>
      <c r="F44" s="57" t="s">
        <v>483</v>
      </c>
      <c r="G44" s="57" t="s">
        <v>484</v>
      </c>
      <c r="H44" s="57" t="s">
        <v>485</v>
      </c>
      <c r="I44" s="59"/>
      <c r="J44" s="59"/>
      <c r="K44" s="63" t="s">
        <v>229</v>
      </c>
      <c r="L44" s="57" t="s">
        <v>275</v>
      </c>
      <c r="M44" s="61">
        <v>46280.0</v>
      </c>
      <c r="N44" s="64" t="s">
        <v>276</v>
      </c>
      <c r="O44" s="33"/>
      <c r="P44" s="33"/>
      <c r="Q44" s="33"/>
      <c r="R44" s="33"/>
      <c r="S44" s="33"/>
      <c r="T44" s="33"/>
      <c r="U44" s="33"/>
      <c r="V44" s="33"/>
      <c r="W44" s="33"/>
      <c r="X44" s="33"/>
      <c r="Y44" s="33"/>
      <c r="Z44" s="33"/>
    </row>
    <row r="45" ht="33.75" customHeight="1">
      <c r="A45" s="56" t="s">
        <v>486</v>
      </c>
      <c r="B45" s="2"/>
      <c r="C45" s="2"/>
      <c r="D45" s="2"/>
      <c r="E45" s="2"/>
      <c r="F45" s="2"/>
      <c r="G45" s="2"/>
      <c r="H45" s="2"/>
      <c r="I45" s="2"/>
      <c r="J45" s="2"/>
      <c r="K45" s="2"/>
      <c r="L45" s="2"/>
      <c r="M45" s="2"/>
      <c r="N45" s="3"/>
      <c r="O45" s="33"/>
      <c r="P45" s="33"/>
      <c r="Q45" s="33"/>
      <c r="R45" s="33"/>
      <c r="S45" s="33"/>
      <c r="T45" s="33"/>
      <c r="U45" s="33"/>
      <c r="V45" s="33"/>
      <c r="W45" s="33"/>
      <c r="X45" s="33"/>
      <c r="Y45" s="33"/>
      <c r="Z45" s="33"/>
    </row>
    <row r="46" ht="33.75" customHeight="1">
      <c r="A46" s="57" t="s">
        <v>487</v>
      </c>
      <c r="B46" s="57" t="s">
        <v>488</v>
      </c>
      <c r="C46" s="57" t="s">
        <v>489</v>
      </c>
      <c r="D46" s="58" t="s">
        <v>490</v>
      </c>
      <c r="E46" s="57" t="s">
        <v>491</v>
      </c>
      <c r="F46" s="57" t="s">
        <v>492</v>
      </c>
      <c r="G46" s="57" t="s">
        <v>493</v>
      </c>
      <c r="H46" s="57" t="s">
        <v>494</v>
      </c>
      <c r="I46" s="59"/>
      <c r="J46" s="59"/>
      <c r="K46" s="62" t="s">
        <v>227</v>
      </c>
      <c r="L46" s="57" t="s">
        <v>275</v>
      </c>
      <c r="M46" s="61">
        <v>46280.0</v>
      </c>
      <c r="N46" s="57" t="s">
        <v>276</v>
      </c>
      <c r="O46" s="33"/>
      <c r="P46" s="33"/>
      <c r="Q46" s="33"/>
      <c r="R46" s="33"/>
      <c r="S46" s="33"/>
      <c r="T46" s="33"/>
      <c r="U46" s="33"/>
      <c r="V46" s="33"/>
      <c r="W46" s="33"/>
      <c r="X46" s="33"/>
      <c r="Y46" s="33"/>
      <c r="Z46" s="33"/>
    </row>
    <row r="47" ht="33.75" customHeight="1">
      <c r="A47" s="57" t="s">
        <v>495</v>
      </c>
      <c r="B47" s="57" t="s">
        <v>496</v>
      </c>
      <c r="C47" s="57" t="s">
        <v>497</v>
      </c>
      <c r="D47" s="58" t="s">
        <v>498</v>
      </c>
      <c r="E47" s="57" t="s">
        <v>499</v>
      </c>
      <c r="F47" s="57" t="s">
        <v>500</v>
      </c>
      <c r="G47" s="57" t="s">
        <v>501</v>
      </c>
      <c r="H47" s="57" t="s">
        <v>502</v>
      </c>
      <c r="I47" s="59"/>
      <c r="J47" s="59"/>
      <c r="K47" s="60" t="s">
        <v>225</v>
      </c>
      <c r="L47" s="57" t="s">
        <v>275</v>
      </c>
      <c r="M47" s="61">
        <v>46280.0</v>
      </c>
      <c r="N47" s="64" t="s">
        <v>337</v>
      </c>
      <c r="O47" s="33"/>
      <c r="P47" s="33"/>
      <c r="Q47" s="33"/>
      <c r="R47" s="33"/>
      <c r="S47" s="33"/>
      <c r="T47" s="33"/>
      <c r="U47" s="33"/>
      <c r="V47" s="33"/>
      <c r="W47" s="33"/>
      <c r="X47" s="33"/>
      <c r="Y47" s="33"/>
      <c r="Z47" s="33"/>
    </row>
    <row r="48" ht="33.75" customHeight="1">
      <c r="A48" s="57" t="s">
        <v>503</v>
      </c>
      <c r="B48" s="57" t="s">
        <v>504</v>
      </c>
      <c r="C48" s="57" t="s">
        <v>505</v>
      </c>
      <c r="D48" s="58" t="s">
        <v>280</v>
      </c>
      <c r="E48" s="57" t="s">
        <v>506</v>
      </c>
      <c r="F48" s="57" t="s">
        <v>507</v>
      </c>
      <c r="G48" s="57" t="s">
        <v>508</v>
      </c>
      <c r="H48" s="57" t="s">
        <v>509</v>
      </c>
      <c r="I48" s="59"/>
      <c r="J48" s="59"/>
      <c r="K48" s="60" t="s">
        <v>225</v>
      </c>
      <c r="L48" s="57" t="s">
        <v>275</v>
      </c>
      <c r="M48" s="61">
        <v>46280.0</v>
      </c>
      <c r="N48" s="64" t="s">
        <v>345</v>
      </c>
      <c r="O48" s="33"/>
      <c r="P48" s="33"/>
      <c r="Q48" s="33"/>
      <c r="R48" s="33"/>
      <c r="S48" s="33"/>
      <c r="T48" s="33"/>
      <c r="U48" s="33"/>
      <c r="V48" s="33"/>
      <c r="W48" s="33"/>
      <c r="X48" s="33"/>
      <c r="Y48" s="33"/>
      <c r="Z48" s="33"/>
    </row>
    <row r="49" ht="33.75" customHeight="1">
      <c r="A49" s="57" t="s">
        <v>510</v>
      </c>
      <c r="B49" s="57" t="s">
        <v>511</v>
      </c>
      <c r="C49" s="57" t="s">
        <v>512</v>
      </c>
      <c r="D49" s="58" t="s">
        <v>280</v>
      </c>
      <c r="E49" s="57" t="s">
        <v>513</v>
      </c>
      <c r="F49" s="57" t="s">
        <v>514</v>
      </c>
      <c r="G49" s="57" t="s">
        <v>515</v>
      </c>
      <c r="H49" s="57" t="s">
        <v>516</v>
      </c>
      <c r="I49" s="59"/>
      <c r="J49" s="59"/>
      <c r="K49" s="63" t="s">
        <v>229</v>
      </c>
      <c r="L49" s="57" t="s">
        <v>275</v>
      </c>
      <c r="M49" s="61">
        <v>46280.0</v>
      </c>
      <c r="N49" s="64" t="s">
        <v>276</v>
      </c>
      <c r="O49" s="33"/>
      <c r="P49" s="33"/>
      <c r="Q49" s="33"/>
      <c r="R49" s="33"/>
      <c r="S49" s="33"/>
      <c r="T49" s="33"/>
      <c r="U49" s="33"/>
      <c r="V49" s="33"/>
      <c r="W49" s="33"/>
      <c r="X49" s="33"/>
      <c r="Y49" s="33"/>
      <c r="Z49" s="33"/>
    </row>
    <row r="50" ht="33.75" customHeight="1">
      <c r="A50" s="56" t="s">
        <v>517</v>
      </c>
      <c r="B50" s="2"/>
      <c r="C50" s="2"/>
      <c r="D50" s="2"/>
      <c r="E50" s="2"/>
      <c r="F50" s="2"/>
      <c r="G50" s="2"/>
      <c r="H50" s="2"/>
      <c r="I50" s="2"/>
      <c r="J50" s="2"/>
      <c r="K50" s="2"/>
      <c r="L50" s="2"/>
      <c r="M50" s="2"/>
      <c r="N50" s="3"/>
      <c r="O50" s="33"/>
      <c r="P50" s="33"/>
      <c r="Q50" s="33"/>
      <c r="R50" s="33"/>
      <c r="S50" s="33"/>
      <c r="T50" s="33"/>
      <c r="U50" s="33"/>
      <c r="V50" s="33"/>
      <c r="W50" s="33"/>
      <c r="X50" s="33"/>
      <c r="Y50" s="33"/>
      <c r="Z50" s="33"/>
    </row>
    <row r="51" ht="33.75" customHeight="1">
      <c r="A51" s="57" t="s">
        <v>518</v>
      </c>
      <c r="B51" s="57" t="s">
        <v>519</v>
      </c>
      <c r="C51" s="57" t="s">
        <v>520</v>
      </c>
      <c r="D51" s="58" t="s">
        <v>350</v>
      </c>
      <c r="E51" s="57" t="s">
        <v>521</v>
      </c>
      <c r="F51" s="57" t="s">
        <v>522</v>
      </c>
      <c r="G51" s="57" t="s">
        <v>523</v>
      </c>
      <c r="H51" s="57" t="s">
        <v>524</v>
      </c>
      <c r="I51" s="59"/>
      <c r="J51" s="59"/>
      <c r="K51" s="62" t="s">
        <v>227</v>
      </c>
      <c r="L51" s="57" t="s">
        <v>275</v>
      </c>
      <c r="M51" s="61">
        <v>46280.0</v>
      </c>
      <c r="N51" s="64" t="s">
        <v>276</v>
      </c>
      <c r="O51" s="33"/>
      <c r="P51" s="33"/>
      <c r="Q51" s="33"/>
      <c r="R51" s="33"/>
      <c r="S51" s="33"/>
      <c r="T51" s="33"/>
      <c r="U51" s="33"/>
      <c r="V51" s="33"/>
      <c r="W51" s="33"/>
      <c r="X51" s="33"/>
      <c r="Y51" s="33"/>
      <c r="Z51" s="33"/>
    </row>
    <row r="52" ht="33.75" customHeight="1">
      <c r="A52" s="66" t="s">
        <v>525</v>
      </c>
      <c r="B52" s="66" t="s">
        <v>519</v>
      </c>
      <c r="C52" s="66" t="s">
        <v>526</v>
      </c>
      <c r="D52" s="67" t="s">
        <v>527</v>
      </c>
      <c r="E52" s="66" t="s">
        <v>528</v>
      </c>
      <c r="F52" s="66" t="s">
        <v>529</v>
      </c>
      <c r="G52" s="66" t="s">
        <v>530</v>
      </c>
      <c r="H52" s="66" t="s">
        <v>531</v>
      </c>
      <c r="I52" s="68"/>
      <c r="J52" s="68"/>
      <c r="K52" s="68"/>
      <c r="L52" s="68"/>
      <c r="M52" s="69"/>
      <c r="N52" s="70"/>
      <c r="O52" s="71"/>
      <c r="P52" s="71"/>
      <c r="Q52" s="71"/>
      <c r="R52" s="71"/>
      <c r="S52" s="71"/>
      <c r="T52" s="71"/>
      <c r="U52" s="71"/>
      <c r="V52" s="71"/>
      <c r="W52" s="71"/>
      <c r="X52" s="71"/>
      <c r="Y52" s="71"/>
      <c r="Z52" s="71"/>
    </row>
    <row r="53" ht="33.75" customHeight="1">
      <c r="A53" s="66" t="s">
        <v>532</v>
      </c>
      <c r="B53" s="66" t="s">
        <v>519</v>
      </c>
      <c r="C53" s="66" t="s">
        <v>533</v>
      </c>
      <c r="D53" s="67" t="s">
        <v>534</v>
      </c>
      <c r="E53" s="66" t="s">
        <v>535</v>
      </c>
      <c r="F53" s="66" t="s">
        <v>536</v>
      </c>
      <c r="G53" s="66" t="s">
        <v>523</v>
      </c>
      <c r="H53" s="66" t="s">
        <v>537</v>
      </c>
      <c r="I53" s="68"/>
      <c r="J53" s="68"/>
      <c r="K53" s="68"/>
      <c r="L53" s="68"/>
      <c r="M53" s="69"/>
      <c r="N53" s="70"/>
      <c r="O53" s="71"/>
      <c r="P53" s="71"/>
      <c r="Q53" s="71"/>
      <c r="R53" s="71"/>
      <c r="S53" s="71"/>
      <c r="T53" s="71"/>
      <c r="U53" s="71"/>
      <c r="V53" s="71"/>
      <c r="W53" s="71"/>
      <c r="X53" s="71"/>
      <c r="Y53" s="71"/>
      <c r="Z53" s="71"/>
    </row>
    <row r="54" ht="33.75" customHeight="1">
      <c r="A54" s="57" t="s">
        <v>538</v>
      </c>
      <c r="B54" s="57" t="s">
        <v>539</v>
      </c>
      <c r="C54" s="57" t="s">
        <v>540</v>
      </c>
      <c r="D54" s="58" t="s">
        <v>350</v>
      </c>
      <c r="E54" s="57" t="s">
        <v>541</v>
      </c>
      <c r="F54" s="57" t="s">
        <v>542</v>
      </c>
      <c r="G54" s="57" t="s">
        <v>543</v>
      </c>
      <c r="H54" s="57" t="s">
        <v>544</v>
      </c>
      <c r="I54" s="59"/>
      <c r="J54" s="59"/>
      <c r="K54" s="62" t="s">
        <v>227</v>
      </c>
      <c r="L54" s="57" t="s">
        <v>275</v>
      </c>
      <c r="M54" s="61">
        <v>46280.0</v>
      </c>
      <c r="N54" s="64" t="s">
        <v>276</v>
      </c>
      <c r="O54" s="33"/>
      <c r="P54" s="33"/>
      <c r="Q54" s="33"/>
      <c r="R54" s="33"/>
      <c r="S54" s="33"/>
      <c r="T54" s="33"/>
      <c r="U54" s="33"/>
      <c r="V54" s="33"/>
      <c r="W54" s="33"/>
      <c r="X54" s="33"/>
      <c r="Y54" s="33"/>
      <c r="Z54" s="33"/>
    </row>
    <row r="55" ht="33.75" customHeight="1">
      <c r="A55" s="57" t="s">
        <v>545</v>
      </c>
      <c r="B55" s="57" t="s">
        <v>546</v>
      </c>
      <c r="C55" s="57" t="s">
        <v>547</v>
      </c>
      <c r="D55" s="58" t="s">
        <v>548</v>
      </c>
      <c r="E55" s="57" t="s">
        <v>549</v>
      </c>
      <c r="F55" s="57" t="s">
        <v>550</v>
      </c>
      <c r="G55" s="57" t="s">
        <v>551</v>
      </c>
      <c r="H55" s="57" t="s">
        <v>552</v>
      </c>
      <c r="I55" s="59"/>
      <c r="J55" s="59"/>
      <c r="K55" s="62" t="s">
        <v>227</v>
      </c>
      <c r="L55" s="57" t="s">
        <v>275</v>
      </c>
      <c r="M55" s="61">
        <v>46280.0</v>
      </c>
      <c r="N55" s="57" t="s">
        <v>276</v>
      </c>
      <c r="O55" s="33"/>
      <c r="P55" s="33"/>
      <c r="Q55" s="33"/>
      <c r="R55" s="33"/>
      <c r="S55" s="33"/>
      <c r="T55" s="33"/>
      <c r="U55" s="33"/>
      <c r="V55" s="33"/>
      <c r="W55" s="33"/>
      <c r="X55" s="33"/>
      <c r="Y55" s="33"/>
      <c r="Z55" s="33"/>
    </row>
    <row r="56" ht="33.75" customHeight="1">
      <c r="A56" s="57" t="s">
        <v>553</v>
      </c>
      <c r="B56" s="57" t="s">
        <v>554</v>
      </c>
      <c r="C56" s="57" t="s">
        <v>555</v>
      </c>
      <c r="D56" s="58" t="s">
        <v>350</v>
      </c>
      <c r="E56" s="57" t="s">
        <v>556</v>
      </c>
      <c r="F56" s="57" t="s">
        <v>557</v>
      </c>
      <c r="G56" s="57" t="s">
        <v>558</v>
      </c>
      <c r="H56" s="57" t="s">
        <v>559</v>
      </c>
      <c r="I56" s="59"/>
      <c r="J56" s="59"/>
      <c r="K56" s="62" t="s">
        <v>227</v>
      </c>
      <c r="L56" s="57" t="s">
        <v>275</v>
      </c>
      <c r="M56" s="61">
        <v>46280.0</v>
      </c>
      <c r="N56" s="57" t="s">
        <v>276</v>
      </c>
      <c r="O56" s="33"/>
      <c r="P56" s="33"/>
      <c r="Q56" s="33"/>
      <c r="R56" s="33"/>
      <c r="S56" s="33"/>
      <c r="T56" s="33"/>
      <c r="U56" s="33"/>
      <c r="V56" s="33"/>
      <c r="W56" s="33"/>
      <c r="X56" s="33"/>
      <c r="Y56" s="33"/>
      <c r="Z56" s="33"/>
    </row>
    <row r="57" ht="33.75" customHeight="1">
      <c r="A57" s="57" t="s">
        <v>560</v>
      </c>
      <c r="B57" s="57" t="s">
        <v>561</v>
      </c>
      <c r="C57" s="57" t="s">
        <v>562</v>
      </c>
      <c r="D57" s="58" t="s">
        <v>563</v>
      </c>
      <c r="E57" s="57" t="s">
        <v>564</v>
      </c>
      <c r="F57" s="57" t="s">
        <v>565</v>
      </c>
      <c r="G57" s="57" t="s">
        <v>566</v>
      </c>
      <c r="H57" s="57" t="s">
        <v>567</v>
      </c>
      <c r="I57" s="59"/>
      <c r="J57" s="59"/>
      <c r="K57" s="60" t="s">
        <v>225</v>
      </c>
      <c r="L57" s="57" t="s">
        <v>275</v>
      </c>
      <c r="M57" s="61">
        <v>46280.0</v>
      </c>
      <c r="N57" s="57" t="s">
        <v>276</v>
      </c>
      <c r="O57" s="33"/>
      <c r="P57" s="33"/>
      <c r="Q57" s="33"/>
      <c r="R57" s="33"/>
      <c r="S57" s="33"/>
      <c r="T57" s="33"/>
      <c r="U57" s="33"/>
      <c r="V57" s="33"/>
      <c r="W57" s="33"/>
      <c r="X57" s="33"/>
      <c r="Y57" s="33"/>
      <c r="Z57" s="33"/>
    </row>
    <row r="58" ht="33.75" customHeight="1">
      <c r="A58" s="57" t="s">
        <v>568</v>
      </c>
      <c r="B58" s="57" t="s">
        <v>569</v>
      </c>
      <c r="C58" s="57" t="s">
        <v>570</v>
      </c>
      <c r="D58" s="58" t="s">
        <v>571</v>
      </c>
      <c r="E58" s="57" t="s">
        <v>572</v>
      </c>
      <c r="F58" s="57" t="s">
        <v>573</v>
      </c>
      <c r="G58" s="57" t="s">
        <v>574</v>
      </c>
      <c r="H58" s="57" t="s">
        <v>575</v>
      </c>
      <c r="I58" s="59"/>
      <c r="J58" s="59"/>
      <c r="K58" s="60" t="s">
        <v>225</v>
      </c>
      <c r="L58" s="57" t="s">
        <v>275</v>
      </c>
      <c r="M58" s="61">
        <v>46280.0</v>
      </c>
      <c r="N58" s="57" t="s">
        <v>337</v>
      </c>
      <c r="O58" s="33"/>
      <c r="P58" s="33"/>
      <c r="Q58" s="33"/>
      <c r="R58" s="33"/>
      <c r="S58" s="33"/>
      <c r="T58" s="33"/>
      <c r="U58" s="33"/>
      <c r="V58" s="33"/>
      <c r="W58" s="33"/>
      <c r="X58" s="33"/>
      <c r="Y58" s="33"/>
      <c r="Z58" s="33"/>
    </row>
    <row r="59" ht="33.75" customHeight="1">
      <c r="A59" s="57" t="s">
        <v>576</v>
      </c>
      <c r="B59" s="57" t="s">
        <v>577</v>
      </c>
      <c r="C59" s="57" t="s">
        <v>578</v>
      </c>
      <c r="D59" s="58" t="s">
        <v>432</v>
      </c>
      <c r="E59" s="57" t="s">
        <v>579</v>
      </c>
      <c r="F59" s="57" t="s">
        <v>580</v>
      </c>
      <c r="G59" s="57" t="s">
        <v>581</v>
      </c>
      <c r="H59" s="57" t="s">
        <v>582</v>
      </c>
      <c r="I59" s="59"/>
      <c r="J59" s="59"/>
      <c r="K59" s="62" t="s">
        <v>227</v>
      </c>
      <c r="L59" s="57" t="s">
        <v>275</v>
      </c>
      <c r="M59" s="61">
        <v>46280.0</v>
      </c>
      <c r="N59" s="57" t="s">
        <v>276</v>
      </c>
      <c r="O59" s="33"/>
      <c r="P59" s="33"/>
      <c r="Q59" s="33"/>
      <c r="R59" s="33"/>
      <c r="S59" s="33"/>
      <c r="T59" s="33"/>
      <c r="U59" s="33"/>
      <c r="V59" s="33"/>
      <c r="W59" s="33"/>
      <c r="X59" s="33"/>
      <c r="Y59" s="33"/>
      <c r="Z59" s="33"/>
    </row>
    <row r="60" ht="33.75" customHeight="1">
      <c r="A60" s="66" t="s">
        <v>583</v>
      </c>
      <c r="B60" s="66" t="s">
        <v>584</v>
      </c>
      <c r="C60" s="66" t="s">
        <v>585</v>
      </c>
      <c r="D60" s="67" t="s">
        <v>586</v>
      </c>
      <c r="E60" s="66" t="s">
        <v>587</v>
      </c>
      <c r="F60" s="66" t="s">
        <v>588</v>
      </c>
      <c r="G60" s="66" t="s">
        <v>589</v>
      </c>
      <c r="H60" s="66" t="s">
        <v>590</v>
      </c>
      <c r="I60" s="68"/>
      <c r="J60" s="68"/>
      <c r="K60" s="72" t="s">
        <v>229</v>
      </c>
      <c r="L60" s="66" t="s">
        <v>275</v>
      </c>
      <c r="M60" s="73">
        <v>46280.0</v>
      </c>
      <c r="N60" s="66" t="s">
        <v>345</v>
      </c>
      <c r="O60" s="71"/>
      <c r="P60" s="71"/>
      <c r="Q60" s="71"/>
      <c r="R60" s="71"/>
      <c r="S60" s="71"/>
      <c r="T60" s="71"/>
      <c r="U60" s="71"/>
      <c r="V60" s="71"/>
      <c r="W60" s="71"/>
      <c r="X60" s="71"/>
      <c r="Y60" s="71"/>
      <c r="Z60" s="71"/>
    </row>
    <row r="61" ht="33.75" customHeight="1">
      <c r="A61" s="57" t="s">
        <v>591</v>
      </c>
      <c r="B61" s="57" t="s">
        <v>592</v>
      </c>
      <c r="C61" s="57" t="s">
        <v>593</v>
      </c>
      <c r="D61" s="58" t="s">
        <v>350</v>
      </c>
      <c r="E61" s="57" t="s">
        <v>594</v>
      </c>
      <c r="F61" s="57" t="s">
        <v>595</v>
      </c>
      <c r="G61" s="57" t="s">
        <v>596</v>
      </c>
      <c r="H61" s="57" t="s">
        <v>596</v>
      </c>
      <c r="I61" s="59"/>
      <c r="J61" s="59"/>
      <c r="K61" s="62" t="s">
        <v>227</v>
      </c>
      <c r="L61" s="57" t="s">
        <v>275</v>
      </c>
      <c r="M61" s="61">
        <v>46280.0</v>
      </c>
      <c r="N61" s="57" t="s">
        <v>276</v>
      </c>
      <c r="O61" s="33"/>
      <c r="P61" s="33"/>
      <c r="Q61" s="33"/>
      <c r="R61" s="33"/>
      <c r="S61" s="33"/>
      <c r="T61" s="33"/>
      <c r="U61" s="33"/>
      <c r="V61" s="33"/>
      <c r="W61" s="33"/>
      <c r="X61" s="33"/>
      <c r="Y61" s="33"/>
      <c r="Z61" s="33"/>
    </row>
    <row r="62" ht="33.75" customHeight="1">
      <c r="A62" s="56" t="s">
        <v>597</v>
      </c>
      <c r="B62" s="2"/>
      <c r="C62" s="2"/>
      <c r="D62" s="2"/>
      <c r="E62" s="2"/>
      <c r="F62" s="2"/>
      <c r="G62" s="2"/>
      <c r="H62" s="2"/>
      <c r="I62" s="2"/>
      <c r="J62" s="2"/>
      <c r="K62" s="2"/>
      <c r="L62" s="2"/>
      <c r="M62" s="2"/>
      <c r="N62" s="3"/>
      <c r="O62" s="33"/>
      <c r="P62" s="33"/>
      <c r="Q62" s="33"/>
      <c r="R62" s="33"/>
      <c r="S62" s="33"/>
      <c r="T62" s="33"/>
      <c r="U62" s="33"/>
      <c r="V62" s="33"/>
      <c r="W62" s="33"/>
      <c r="X62" s="33"/>
      <c r="Y62" s="33"/>
      <c r="Z62" s="33"/>
    </row>
    <row r="63" ht="33.75" customHeight="1">
      <c r="A63" s="57" t="s">
        <v>598</v>
      </c>
      <c r="B63" s="57" t="s">
        <v>599</v>
      </c>
      <c r="C63" s="57" t="s">
        <v>600</v>
      </c>
      <c r="D63" s="58" t="s">
        <v>350</v>
      </c>
      <c r="E63" s="57" t="s">
        <v>601</v>
      </c>
      <c r="F63" s="57" t="s">
        <v>1236</v>
      </c>
      <c r="G63" s="57" t="s">
        <v>1237</v>
      </c>
      <c r="H63" s="57" t="s">
        <v>604</v>
      </c>
      <c r="I63" s="59"/>
      <c r="J63" s="59" t="s">
        <v>234</v>
      </c>
      <c r="K63" s="60" t="s">
        <v>225</v>
      </c>
      <c r="L63" s="57" t="s">
        <v>827</v>
      </c>
      <c r="M63" s="61" t="s">
        <v>1229</v>
      </c>
      <c r="N63" s="57" t="s">
        <v>276</v>
      </c>
      <c r="O63" s="33"/>
      <c r="P63" s="33"/>
      <c r="Q63" s="33"/>
      <c r="R63" s="33"/>
      <c r="S63" s="33"/>
      <c r="T63" s="33"/>
      <c r="U63" s="33"/>
      <c r="V63" s="33"/>
      <c r="W63" s="33"/>
      <c r="X63" s="33"/>
      <c r="Y63" s="33"/>
      <c r="Z63" s="33"/>
    </row>
    <row r="64" ht="33.75" customHeight="1">
      <c r="A64" s="57" t="s">
        <v>605</v>
      </c>
      <c r="B64" s="57" t="s">
        <v>606</v>
      </c>
      <c r="C64" s="57" t="s">
        <v>607</v>
      </c>
      <c r="D64" s="58" t="s">
        <v>350</v>
      </c>
      <c r="E64" s="57" t="s">
        <v>608</v>
      </c>
      <c r="F64" s="57" t="s">
        <v>470</v>
      </c>
      <c r="G64" s="57" t="s">
        <v>609</v>
      </c>
      <c r="H64" s="57" t="s">
        <v>610</v>
      </c>
      <c r="I64" s="59"/>
      <c r="J64" s="59"/>
      <c r="K64" s="62" t="s">
        <v>227</v>
      </c>
      <c r="L64" s="57" t="s">
        <v>275</v>
      </c>
      <c r="M64" s="61">
        <v>46280.0</v>
      </c>
      <c r="N64" s="57" t="s">
        <v>276</v>
      </c>
      <c r="O64" s="33"/>
      <c r="P64" s="33"/>
      <c r="Q64" s="33"/>
      <c r="R64" s="33"/>
      <c r="S64" s="33"/>
      <c r="T64" s="33"/>
      <c r="U64" s="33"/>
      <c r="V64" s="33"/>
      <c r="W64" s="33"/>
      <c r="X64" s="33"/>
      <c r="Y64" s="33"/>
      <c r="Z64" s="33"/>
    </row>
    <row r="65" ht="33.75" customHeight="1">
      <c r="A65" s="57" t="s">
        <v>611</v>
      </c>
      <c r="B65" s="57" t="s">
        <v>612</v>
      </c>
      <c r="C65" s="57" t="s">
        <v>613</v>
      </c>
      <c r="D65" s="58" t="s">
        <v>350</v>
      </c>
      <c r="E65" s="57" t="s">
        <v>614</v>
      </c>
      <c r="F65" s="57" t="s">
        <v>615</v>
      </c>
      <c r="G65" s="57" t="s">
        <v>616</v>
      </c>
      <c r="H65" s="57" t="s">
        <v>617</v>
      </c>
      <c r="I65" s="59"/>
      <c r="J65" s="59"/>
      <c r="K65" s="60" t="s">
        <v>225</v>
      </c>
      <c r="L65" s="57" t="s">
        <v>275</v>
      </c>
      <c r="M65" s="61">
        <v>46280.0</v>
      </c>
      <c r="N65" s="57" t="s">
        <v>337</v>
      </c>
      <c r="O65" s="33"/>
      <c r="P65" s="33"/>
      <c r="Q65" s="33"/>
      <c r="R65" s="33"/>
      <c r="S65" s="33"/>
      <c r="T65" s="33"/>
      <c r="U65" s="33"/>
      <c r="V65" s="33"/>
      <c r="W65" s="33"/>
      <c r="X65" s="33"/>
      <c r="Y65" s="33"/>
      <c r="Z65" s="33"/>
    </row>
    <row r="66" ht="33.75" customHeight="1">
      <c r="A66" s="57" t="s">
        <v>618</v>
      </c>
      <c r="B66" s="57" t="s">
        <v>619</v>
      </c>
      <c r="C66" s="57" t="s">
        <v>620</v>
      </c>
      <c r="D66" s="58" t="s">
        <v>350</v>
      </c>
      <c r="E66" s="57" t="s">
        <v>621</v>
      </c>
      <c r="F66" s="57" t="s">
        <v>622</v>
      </c>
      <c r="G66" s="57" t="s">
        <v>623</v>
      </c>
      <c r="H66" s="57" t="s">
        <v>617</v>
      </c>
      <c r="I66" s="59"/>
      <c r="J66" s="59"/>
      <c r="K66" s="60" t="s">
        <v>225</v>
      </c>
      <c r="L66" s="57" t="s">
        <v>275</v>
      </c>
      <c r="M66" s="61">
        <v>46280.0</v>
      </c>
      <c r="N66" s="57" t="s">
        <v>337</v>
      </c>
      <c r="O66" s="33"/>
      <c r="P66" s="33"/>
      <c r="Q66" s="33"/>
      <c r="R66" s="33"/>
      <c r="S66" s="33"/>
      <c r="T66" s="33"/>
      <c r="U66" s="33"/>
      <c r="V66" s="33"/>
      <c r="W66" s="33"/>
      <c r="X66" s="33"/>
      <c r="Y66" s="33"/>
      <c r="Z66" s="33"/>
    </row>
    <row r="67" ht="33.75" customHeight="1">
      <c r="A67" s="57" t="s">
        <v>624</v>
      </c>
      <c r="B67" s="57" t="s">
        <v>625</v>
      </c>
      <c r="C67" s="57" t="s">
        <v>626</v>
      </c>
      <c r="D67" s="58" t="s">
        <v>350</v>
      </c>
      <c r="E67" s="57" t="s">
        <v>627</v>
      </c>
      <c r="F67" s="57" t="s">
        <v>628</v>
      </c>
      <c r="G67" s="57" t="s">
        <v>629</v>
      </c>
      <c r="H67" s="57" t="s">
        <v>630</v>
      </c>
      <c r="I67" s="59"/>
      <c r="J67" s="59"/>
      <c r="K67" s="62" t="s">
        <v>227</v>
      </c>
      <c r="L67" s="57" t="s">
        <v>275</v>
      </c>
      <c r="M67" s="61">
        <v>46280.0</v>
      </c>
      <c r="N67" s="57" t="s">
        <v>276</v>
      </c>
      <c r="O67" s="33"/>
      <c r="P67" s="33"/>
      <c r="Q67" s="33"/>
      <c r="R67" s="33"/>
      <c r="S67" s="33"/>
      <c r="T67" s="33"/>
      <c r="U67" s="33"/>
      <c r="V67" s="33"/>
      <c r="W67" s="33"/>
      <c r="X67" s="33"/>
      <c r="Y67" s="33"/>
      <c r="Z67" s="33"/>
    </row>
    <row r="68" ht="33.75" customHeight="1">
      <c r="A68" s="57" t="s">
        <v>631</v>
      </c>
      <c r="B68" s="57" t="s">
        <v>632</v>
      </c>
      <c r="C68" s="57" t="s">
        <v>633</v>
      </c>
      <c r="D68" s="58" t="s">
        <v>350</v>
      </c>
      <c r="E68" s="57" t="s">
        <v>634</v>
      </c>
      <c r="F68" s="57" t="s">
        <v>1239</v>
      </c>
      <c r="G68" s="57" t="s">
        <v>1225</v>
      </c>
      <c r="H68" s="57" t="s">
        <v>637</v>
      </c>
      <c r="I68" s="59"/>
      <c r="J68" s="59" t="s">
        <v>234</v>
      </c>
      <c r="K68" s="62" t="s">
        <v>227</v>
      </c>
      <c r="L68" s="57" t="s">
        <v>827</v>
      </c>
      <c r="M68" s="61" t="s">
        <v>1229</v>
      </c>
      <c r="N68" s="57" t="s">
        <v>427</v>
      </c>
      <c r="O68" s="33"/>
      <c r="P68" s="33"/>
      <c r="Q68" s="33"/>
      <c r="R68" s="33"/>
      <c r="S68" s="33"/>
      <c r="T68" s="33"/>
      <c r="U68" s="33"/>
      <c r="V68" s="33"/>
      <c r="W68" s="33"/>
      <c r="X68" s="33"/>
      <c r="Y68" s="33"/>
      <c r="Z68" s="33"/>
    </row>
    <row r="69" ht="33.75" customHeight="1">
      <c r="A69" s="57" t="s">
        <v>638</v>
      </c>
      <c r="B69" s="57" t="s">
        <v>639</v>
      </c>
      <c r="C69" s="57" t="s">
        <v>640</v>
      </c>
      <c r="D69" s="58" t="s">
        <v>350</v>
      </c>
      <c r="E69" s="57" t="s">
        <v>641</v>
      </c>
      <c r="F69" s="57" t="s">
        <v>642</v>
      </c>
      <c r="G69" s="57" t="s">
        <v>643</v>
      </c>
      <c r="H69" s="57" t="s">
        <v>644</v>
      </c>
      <c r="I69" s="59"/>
      <c r="J69" s="59"/>
      <c r="K69" s="63" t="s">
        <v>229</v>
      </c>
      <c r="L69" s="57" t="s">
        <v>275</v>
      </c>
      <c r="M69" s="61">
        <v>46280.0</v>
      </c>
      <c r="N69" s="57" t="s">
        <v>427</v>
      </c>
      <c r="O69" s="33"/>
      <c r="P69" s="33"/>
      <c r="Q69" s="33"/>
      <c r="R69" s="33"/>
      <c r="S69" s="33"/>
      <c r="T69" s="33"/>
      <c r="U69" s="33"/>
      <c r="V69" s="33"/>
      <c r="W69" s="33"/>
      <c r="X69" s="33"/>
      <c r="Y69" s="33"/>
      <c r="Z69" s="33"/>
    </row>
    <row r="70" ht="33.75" customHeight="1">
      <c r="A70" s="57" t="s">
        <v>645</v>
      </c>
      <c r="B70" s="57" t="s">
        <v>646</v>
      </c>
      <c r="C70" s="57" t="s">
        <v>647</v>
      </c>
      <c r="D70" s="58" t="s">
        <v>648</v>
      </c>
      <c r="E70" s="57" t="s">
        <v>649</v>
      </c>
      <c r="F70" s="57" t="s">
        <v>650</v>
      </c>
      <c r="G70" s="57" t="s">
        <v>651</v>
      </c>
      <c r="H70" s="57" t="s">
        <v>652</v>
      </c>
      <c r="I70" s="59"/>
      <c r="J70" s="59"/>
      <c r="K70" s="60" t="s">
        <v>225</v>
      </c>
      <c r="L70" s="57" t="s">
        <v>275</v>
      </c>
      <c r="M70" s="61">
        <v>46280.0</v>
      </c>
      <c r="N70" s="57" t="s">
        <v>345</v>
      </c>
      <c r="O70" s="33"/>
      <c r="P70" s="33"/>
      <c r="Q70" s="33"/>
      <c r="R70" s="33"/>
      <c r="S70" s="33"/>
      <c r="T70" s="33"/>
      <c r="U70" s="33"/>
      <c r="V70" s="33"/>
      <c r="W70" s="33"/>
      <c r="X70" s="33"/>
      <c r="Y70" s="33"/>
      <c r="Z70" s="33"/>
    </row>
    <row r="71" ht="33.75" customHeight="1">
      <c r="A71" s="56" t="s">
        <v>653</v>
      </c>
      <c r="B71" s="2"/>
      <c r="C71" s="2"/>
      <c r="D71" s="2"/>
      <c r="E71" s="2"/>
      <c r="F71" s="2"/>
      <c r="G71" s="2"/>
      <c r="H71" s="2"/>
      <c r="I71" s="2"/>
      <c r="J71" s="2"/>
      <c r="K71" s="2"/>
      <c r="L71" s="2"/>
      <c r="M71" s="2"/>
      <c r="N71" s="3"/>
      <c r="O71" s="33"/>
      <c r="P71" s="33"/>
      <c r="Q71" s="33"/>
      <c r="R71" s="33"/>
      <c r="S71" s="33"/>
      <c r="T71" s="33"/>
      <c r="U71" s="33"/>
      <c r="V71" s="33"/>
      <c r="W71" s="33"/>
      <c r="X71" s="33"/>
      <c r="Y71" s="33"/>
      <c r="Z71" s="33"/>
    </row>
    <row r="72" ht="33.75" customHeight="1">
      <c r="A72" s="57" t="s">
        <v>654</v>
      </c>
      <c r="B72" s="57" t="s">
        <v>655</v>
      </c>
      <c r="C72" s="57" t="s">
        <v>656</v>
      </c>
      <c r="D72" s="58" t="s">
        <v>657</v>
      </c>
      <c r="E72" s="57" t="s">
        <v>658</v>
      </c>
      <c r="F72" s="57" t="s">
        <v>659</v>
      </c>
      <c r="G72" s="57" t="s">
        <v>660</v>
      </c>
      <c r="H72" s="57" t="s">
        <v>661</v>
      </c>
      <c r="I72" s="59"/>
      <c r="J72" s="59"/>
      <c r="K72" s="60" t="s">
        <v>225</v>
      </c>
      <c r="L72" s="57" t="s">
        <v>275</v>
      </c>
      <c r="M72" s="61">
        <v>46280.0</v>
      </c>
      <c r="N72" s="57" t="s">
        <v>276</v>
      </c>
      <c r="O72" s="33"/>
      <c r="P72" s="33"/>
      <c r="Q72" s="33"/>
      <c r="R72" s="33"/>
      <c r="S72" s="33"/>
      <c r="T72" s="33"/>
      <c r="U72" s="33"/>
      <c r="V72" s="33"/>
      <c r="W72" s="33"/>
      <c r="X72" s="33"/>
      <c r="Y72" s="33"/>
      <c r="Z72" s="33"/>
    </row>
    <row r="73" ht="33.75" customHeight="1">
      <c r="A73" s="57" t="s">
        <v>662</v>
      </c>
      <c r="B73" s="57" t="s">
        <v>663</v>
      </c>
      <c r="C73" s="57" t="s">
        <v>664</v>
      </c>
      <c r="D73" s="58" t="s">
        <v>665</v>
      </c>
      <c r="E73" s="57" t="s">
        <v>666</v>
      </c>
      <c r="F73" s="57" t="s">
        <v>667</v>
      </c>
      <c r="G73" s="57" t="s">
        <v>668</v>
      </c>
      <c r="H73" s="57" t="s">
        <v>669</v>
      </c>
      <c r="I73" s="59"/>
      <c r="J73" s="59"/>
      <c r="K73" s="60" t="s">
        <v>225</v>
      </c>
      <c r="L73" s="57" t="s">
        <v>275</v>
      </c>
      <c r="M73" s="61">
        <v>46280.0</v>
      </c>
      <c r="N73" s="57" t="s">
        <v>427</v>
      </c>
      <c r="O73" s="33"/>
      <c r="P73" s="33"/>
      <c r="Q73" s="33"/>
      <c r="R73" s="33"/>
      <c r="S73" s="33"/>
      <c r="T73" s="33"/>
      <c r="U73" s="33"/>
      <c r="V73" s="33"/>
      <c r="W73" s="33"/>
      <c r="X73" s="33"/>
      <c r="Y73" s="33"/>
      <c r="Z73" s="33"/>
    </row>
    <row r="74" ht="33.75" customHeight="1">
      <c r="A74" s="57" t="s">
        <v>670</v>
      </c>
      <c r="B74" s="57" t="s">
        <v>671</v>
      </c>
      <c r="C74" s="57" t="s">
        <v>672</v>
      </c>
      <c r="D74" s="58" t="s">
        <v>673</v>
      </c>
      <c r="E74" s="57" t="s">
        <v>674</v>
      </c>
      <c r="F74" s="57" t="s">
        <v>675</v>
      </c>
      <c r="G74" s="57" t="s">
        <v>676</v>
      </c>
      <c r="H74" s="57" t="s">
        <v>677</v>
      </c>
      <c r="I74" s="59"/>
      <c r="J74" s="59"/>
      <c r="K74" s="60" t="s">
        <v>225</v>
      </c>
      <c r="L74" s="57" t="s">
        <v>275</v>
      </c>
      <c r="M74" s="61">
        <v>46280.0</v>
      </c>
      <c r="N74" s="57" t="s">
        <v>337</v>
      </c>
      <c r="O74" s="33"/>
      <c r="P74" s="33"/>
      <c r="Q74" s="33"/>
      <c r="R74" s="33"/>
      <c r="S74" s="33"/>
      <c r="T74" s="33"/>
      <c r="U74" s="33"/>
      <c r="V74" s="33"/>
      <c r="W74" s="33"/>
      <c r="X74" s="33"/>
      <c r="Y74" s="33"/>
      <c r="Z74" s="33"/>
    </row>
    <row r="75" ht="33.75" customHeight="1">
      <c r="A75" s="57" t="s">
        <v>678</v>
      </c>
      <c r="B75" s="57" t="s">
        <v>679</v>
      </c>
      <c r="C75" s="57" t="s">
        <v>680</v>
      </c>
      <c r="D75" s="58" t="s">
        <v>681</v>
      </c>
      <c r="E75" s="57" t="s">
        <v>682</v>
      </c>
      <c r="F75" s="57" t="s">
        <v>683</v>
      </c>
      <c r="G75" s="57" t="s">
        <v>684</v>
      </c>
      <c r="H75" s="57" t="s">
        <v>685</v>
      </c>
      <c r="I75" s="59"/>
      <c r="J75" s="59"/>
      <c r="K75" s="60" t="s">
        <v>225</v>
      </c>
      <c r="L75" s="57" t="s">
        <v>275</v>
      </c>
      <c r="M75" s="61">
        <v>46280.0</v>
      </c>
      <c r="N75" s="57" t="s">
        <v>337</v>
      </c>
      <c r="O75" s="33"/>
      <c r="P75" s="33"/>
      <c r="Q75" s="33"/>
      <c r="R75" s="33"/>
      <c r="S75" s="33"/>
      <c r="T75" s="33"/>
      <c r="U75" s="33"/>
      <c r="V75" s="33"/>
      <c r="W75" s="33"/>
      <c r="X75" s="33"/>
      <c r="Y75" s="33"/>
      <c r="Z75" s="33"/>
    </row>
    <row r="76" ht="33.75" customHeight="1">
      <c r="A76" s="57" t="s">
        <v>686</v>
      </c>
      <c r="B76" s="57" t="s">
        <v>687</v>
      </c>
      <c r="C76" s="57" t="s">
        <v>688</v>
      </c>
      <c r="D76" s="58" t="s">
        <v>689</v>
      </c>
      <c r="E76" s="57" t="s">
        <v>690</v>
      </c>
      <c r="F76" s="57" t="s">
        <v>691</v>
      </c>
      <c r="G76" s="57" t="s">
        <v>692</v>
      </c>
      <c r="H76" s="57" t="s">
        <v>693</v>
      </c>
      <c r="I76" s="59"/>
      <c r="J76" s="59"/>
      <c r="K76" s="62" t="s">
        <v>227</v>
      </c>
      <c r="L76" s="57" t="s">
        <v>275</v>
      </c>
      <c r="M76" s="61">
        <v>46280.0</v>
      </c>
      <c r="N76" s="57" t="s">
        <v>276</v>
      </c>
      <c r="O76" s="33"/>
      <c r="P76" s="33"/>
      <c r="Q76" s="33"/>
      <c r="R76" s="33"/>
      <c r="S76" s="33"/>
      <c r="T76" s="33"/>
      <c r="U76" s="33"/>
      <c r="V76" s="33"/>
      <c r="W76" s="33"/>
      <c r="X76" s="33"/>
      <c r="Y76" s="33"/>
      <c r="Z76" s="33"/>
    </row>
    <row r="77" ht="33.75" customHeight="1">
      <c r="A77" s="74" t="s">
        <v>694</v>
      </c>
      <c r="B77" s="2"/>
      <c r="C77" s="2"/>
      <c r="D77" s="2"/>
      <c r="E77" s="2"/>
      <c r="F77" s="2"/>
      <c r="G77" s="2"/>
      <c r="H77" s="2"/>
      <c r="I77" s="2"/>
      <c r="J77" s="2"/>
      <c r="K77" s="2"/>
      <c r="L77" s="2"/>
      <c r="M77" s="2"/>
      <c r="N77" s="3"/>
      <c r="O77" s="33"/>
      <c r="P77" s="33"/>
      <c r="Q77" s="33"/>
      <c r="R77" s="33"/>
      <c r="S77" s="33"/>
      <c r="T77" s="33"/>
      <c r="U77" s="33"/>
      <c r="V77" s="33"/>
      <c r="W77" s="33"/>
      <c r="X77" s="33"/>
      <c r="Y77" s="33"/>
      <c r="Z77" s="33"/>
    </row>
    <row r="78" ht="33.75" customHeight="1">
      <c r="A78" s="56" t="s">
        <v>695</v>
      </c>
      <c r="B78" s="2"/>
      <c r="C78" s="2"/>
      <c r="D78" s="2"/>
      <c r="E78" s="2"/>
      <c r="F78" s="2"/>
      <c r="G78" s="2"/>
      <c r="H78" s="2"/>
      <c r="I78" s="2"/>
      <c r="J78" s="2"/>
      <c r="K78" s="2"/>
      <c r="L78" s="2"/>
      <c r="M78" s="2"/>
      <c r="N78" s="3"/>
      <c r="O78" s="33"/>
      <c r="P78" s="33"/>
      <c r="Q78" s="33"/>
      <c r="R78" s="33"/>
      <c r="S78" s="33"/>
      <c r="T78" s="33"/>
      <c r="U78" s="33"/>
      <c r="V78" s="33"/>
      <c r="W78" s="33"/>
      <c r="X78" s="33"/>
      <c r="Y78" s="33"/>
      <c r="Z78" s="33"/>
    </row>
    <row r="79" ht="33.75" customHeight="1">
      <c r="A79" s="57" t="s">
        <v>696</v>
      </c>
      <c r="B79" s="57" t="s">
        <v>697</v>
      </c>
      <c r="C79" s="57" t="s">
        <v>698</v>
      </c>
      <c r="D79" s="58" t="s">
        <v>699</v>
      </c>
      <c r="E79" s="57" t="s">
        <v>700</v>
      </c>
      <c r="F79" s="57" t="s">
        <v>701</v>
      </c>
      <c r="G79" s="57" t="s">
        <v>702</v>
      </c>
      <c r="H79" s="57" t="s">
        <v>703</v>
      </c>
      <c r="I79" s="59"/>
      <c r="J79" s="59"/>
      <c r="K79" s="60" t="s">
        <v>225</v>
      </c>
      <c r="L79" s="57" t="s">
        <v>275</v>
      </c>
      <c r="M79" s="61">
        <v>46280.0</v>
      </c>
      <c r="N79" s="57" t="s">
        <v>276</v>
      </c>
      <c r="O79" s="33"/>
      <c r="P79" s="33"/>
      <c r="Q79" s="33"/>
      <c r="R79" s="33"/>
      <c r="S79" s="33"/>
      <c r="T79" s="33"/>
      <c r="U79" s="33"/>
      <c r="V79" s="33"/>
      <c r="W79" s="33"/>
      <c r="X79" s="33"/>
      <c r="Y79" s="33"/>
      <c r="Z79" s="33"/>
    </row>
    <row r="80" ht="33.75" customHeight="1">
      <c r="A80" s="57" t="s">
        <v>704</v>
      </c>
      <c r="B80" s="57" t="s">
        <v>705</v>
      </c>
      <c r="C80" s="57" t="s">
        <v>279</v>
      </c>
      <c r="D80" s="58" t="s">
        <v>706</v>
      </c>
      <c r="E80" s="57" t="s">
        <v>281</v>
      </c>
      <c r="F80" s="57" t="s">
        <v>282</v>
      </c>
      <c r="G80" s="57" t="s">
        <v>283</v>
      </c>
      <c r="H80" s="57" t="s">
        <v>284</v>
      </c>
      <c r="I80" s="59"/>
      <c r="J80" s="59"/>
      <c r="K80" s="62" t="s">
        <v>227</v>
      </c>
      <c r="L80" s="57" t="s">
        <v>275</v>
      </c>
      <c r="M80" s="61">
        <v>46280.0</v>
      </c>
      <c r="N80" s="57" t="s">
        <v>276</v>
      </c>
      <c r="O80" s="33"/>
      <c r="P80" s="33"/>
      <c r="Q80" s="33"/>
      <c r="R80" s="33"/>
      <c r="S80" s="33"/>
      <c r="T80" s="33"/>
      <c r="U80" s="33"/>
      <c r="V80" s="33"/>
      <c r="W80" s="33"/>
      <c r="X80" s="33"/>
      <c r="Y80" s="33"/>
      <c r="Z80" s="33"/>
    </row>
    <row r="81" ht="33.75" customHeight="1">
      <c r="A81" s="57" t="s">
        <v>707</v>
      </c>
      <c r="B81" s="57" t="s">
        <v>708</v>
      </c>
      <c r="C81" s="57" t="s">
        <v>287</v>
      </c>
      <c r="D81" s="58" t="s">
        <v>709</v>
      </c>
      <c r="E81" s="57" t="s">
        <v>289</v>
      </c>
      <c r="F81" s="57" t="s">
        <v>290</v>
      </c>
      <c r="G81" s="57" t="s">
        <v>291</v>
      </c>
      <c r="H81" s="57" t="s">
        <v>284</v>
      </c>
      <c r="I81" s="59"/>
      <c r="J81" s="59"/>
      <c r="K81" s="62" t="s">
        <v>227</v>
      </c>
      <c r="L81" s="57" t="s">
        <v>275</v>
      </c>
      <c r="M81" s="61">
        <v>46280.0</v>
      </c>
      <c r="N81" s="57" t="s">
        <v>276</v>
      </c>
      <c r="O81" s="33"/>
      <c r="P81" s="33"/>
      <c r="Q81" s="33"/>
      <c r="R81" s="33"/>
      <c r="S81" s="33"/>
      <c r="T81" s="33"/>
      <c r="U81" s="33"/>
      <c r="V81" s="33"/>
      <c r="W81" s="33"/>
      <c r="X81" s="33"/>
      <c r="Y81" s="33"/>
      <c r="Z81" s="33"/>
    </row>
    <row r="82" ht="33.75" customHeight="1">
      <c r="A82" s="57" t="s">
        <v>710</v>
      </c>
      <c r="B82" s="57" t="s">
        <v>711</v>
      </c>
      <c r="C82" s="57" t="s">
        <v>294</v>
      </c>
      <c r="D82" s="58" t="s">
        <v>706</v>
      </c>
      <c r="E82" s="57" t="s">
        <v>295</v>
      </c>
      <c r="F82" s="57" t="s">
        <v>296</v>
      </c>
      <c r="G82" s="57" t="s">
        <v>713</v>
      </c>
      <c r="H82" s="57" t="s">
        <v>298</v>
      </c>
      <c r="I82" s="59"/>
      <c r="J82" s="59"/>
      <c r="K82" s="60" t="s">
        <v>225</v>
      </c>
      <c r="L82" s="57" t="s">
        <v>275</v>
      </c>
      <c r="M82" s="61">
        <v>46280.0</v>
      </c>
      <c r="N82" s="57" t="s">
        <v>276</v>
      </c>
      <c r="O82" s="33"/>
      <c r="P82" s="33"/>
      <c r="Q82" s="33"/>
      <c r="R82" s="33"/>
      <c r="S82" s="33"/>
      <c r="T82" s="33"/>
      <c r="U82" s="33"/>
      <c r="V82" s="33"/>
      <c r="W82" s="33"/>
      <c r="X82" s="33"/>
      <c r="Y82" s="33"/>
      <c r="Z82" s="33"/>
    </row>
    <row r="83" ht="33.75" customHeight="1">
      <c r="A83" s="57" t="s">
        <v>714</v>
      </c>
      <c r="B83" s="57" t="s">
        <v>715</v>
      </c>
      <c r="C83" s="57" t="s">
        <v>301</v>
      </c>
      <c r="D83" s="58" t="s">
        <v>706</v>
      </c>
      <c r="E83" s="57" t="s">
        <v>302</v>
      </c>
      <c r="F83" s="57" t="s">
        <v>303</v>
      </c>
      <c r="G83" s="57" t="s">
        <v>716</v>
      </c>
      <c r="H83" s="57" t="s">
        <v>305</v>
      </c>
      <c r="I83" s="59"/>
      <c r="J83" s="59"/>
      <c r="K83" s="60" t="s">
        <v>225</v>
      </c>
      <c r="L83" s="57" t="s">
        <v>275</v>
      </c>
      <c r="M83" s="61">
        <v>46280.0</v>
      </c>
      <c r="N83" s="57" t="s">
        <v>276</v>
      </c>
      <c r="O83" s="33"/>
      <c r="P83" s="33"/>
      <c r="Q83" s="33"/>
      <c r="R83" s="33"/>
      <c r="S83" s="33"/>
      <c r="T83" s="33"/>
      <c r="U83" s="33"/>
      <c r="V83" s="33"/>
      <c r="W83" s="33"/>
      <c r="X83" s="33"/>
      <c r="Y83" s="33"/>
      <c r="Z83" s="33"/>
    </row>
    <row r="84" ht="33.75" customHeight="1">
      <c r="A84" s="57" t="s">
        <v>717</v>
      </c>
      <c r="B84" s="57" t="s">
        <v>718</v>
      </c>
      <c r="C84" s="57" t="s">
        <v>308</v>
      </c>
      <c r="D84" s="58" t="s">
        <v>719</v>
      </c>
      <c r="E84" s="57" t="s">
        <v>310</v>
      </c>
      <c r="F84" s="57" t="s">
        <v>311</v>
      </c>
      <c r="G84" s="57" t="s">
        <v>312</v>
      </c>
      <c r="H84" s="57" t="s">
        <v>313</v>
      </c>
      <c r="I84" s="59"/>
      <c r="J84" s="59"/>
      <c r="K84" s="63" t="s">
        <v>229</v>
      </c>
      <c r="L84" s="57" t="s">
        <v>275</v>
      </c>
      <c r="M84" s="61">
        <v>46280.0</v>
      </c>
      <c r="N84" s="57" t="s">
        <v>314</v>
      </c>
      <c r="O84" s="33"/>
      <c r="P84" s="33"/>
      <c r="Q84" s="33"/>
      <c r="R84" s="33"/>
      <c r="S84" s="33"/>
      <c r="T84" s="33"/>
      <c r="U84" s="33"/>
      <c r="V84" s="33"/>
      <c r="W84" s="33"/>
      <c r="X84" s="33"/>
      <c r="Y84" s="33"/>
      <c r="Z84" s="33"/>
    </row>
    <row r="85" ht="33.75" customHeight="1">
      <c r="A85" s="56" t="s">
        <v>720</v>
      </c>
      <c r="B85" s="2"/>
      <c r="C85" s="2"/>
      <c r="D85" s="2"/>
      <c r="E85" s="2"/>
      <c r="F85" s="2"/>
      <c r="G85" s="2"/>
      <c r="H85" s="2"/>
      <c r="I85" s="2"/>
      <c r="J85" s="2"/>
      <c r="K85" s="2"/>
      <c r="L85" s="2"/>
      <c r="M85" s="2"/>
      <c r="N85" s="3"/>
      <c r="O85" s="33"/>
      <c r="P85" s="33"/>
      <c r="Q85" s="33"/>
      <c r="R85" s="33"/>
      <c r="S85" s="33"/>
      <c r="T85" s="33"/>
      <c r="U85" s="33"/>
      <c r="V85" s="33"/>
      <c r="W85" s="33"/>
      <c r="X85" s="33"/>
      <c r="Y85" s="33"/>
      <c r="Z85" s="33"/>
    </row>
    <row r="86" ht="33.75" customHeight="1">
      <c r="A86" s="57" t="s">
        <v>722</v>
      </c>
      <c r="B86" s="57" t="s">
        <v>723</v>
      </c>
      <c r="C86" s="57" t="s">
        <v>724</v>
      </c>
      <c r="D86" s="58" t="s">
        <v>706</v>
      </c>
      <c r="E86" s="57" t="s">
        <v>725</v>
      </c>
      <c r="F86" s="57" t="s">
        <v>726</v>
      </c>
      <c r="G86" s="57" t="s">
        <v>727</v>
      </c>
      <c r="H86" s="57" t="s">
        <v>322</v>
      </c>
      <c r="I86" s="59"/>
      <c r="J86" s="59"/>
      <c r="K86" s="62" t="s">
        <v>227</v>
      </c>
      <c r="L86" s="57" t="s">
        <v>275</v>
      </c>
      <c r="M86" s="61">
        <v>46280.0</v>
      </c>
      <c r="N86" s="57" t="s">
        <v>276</v>
      </c>
      <c r="O86" s="33"/>
      <c r="P86" s="33"/>
      <c r="Q86" s="33"/>
      <c r="R86" s="33"/>
      <c r="S86" s="33"/>
      <c r="T86" s="33"/>
      <c r="U86" s="33"/>
      <c r="V86" s="33"/>
      <c r="W86" s="33"/>
      <c r="X86" s="33"/>
      <c r="Y86" s="33"/>
      <c r="Z86" s="33"/>
    </row>
    <row r="87" ht="33.75" customHeight="1">
      <c r="A87" s="57" t="s">
        <v>729</v>
      </c>
      <c r="B87" s="57" t="s">
        <v>730</v>
      </c>
      <c r="C87" s="57" t="s">
        <v>731</v>
      </c>
      <c r="D87" s="58" t="s">
        <v>706</v>
      </c>
      <c r="E87" s="57" t="s">
        <v>732</v>
      </c>
      <c r="F87" s="57" t="s">
        <v>1220</v>
      </c>
      <c r="G87" s="57" t="s">
        <v>1221</v>
      </c>
      <c r="H87" s="57" t="s">
        <v>735</v>
      </c>
      <c r="I87" s="59"/>
      <c r="J87" s="59" t="s">
        <v>234</v>
      </c>
      <c r="K87" s="60" t="s">
        <v>225</v>
      </c>
      <c r="L87" s="57" t="s">
        <v>275</v>
      </c>
      <c r="M87" s="61">
        <v>46280.0</v>
      </c>
      <c r="N87" s="57" t="s">
        <v>337</v>
      </c>
      <c r="O87" s="33"/>
      <c r="P87" s="33"/>
      <c r="Q87" s="33"/>
      <c r="R87" s="33"/>
      <c r="S87" s="33"/>
      <c r="T87" s="33"/>
      <c r="U87" s="33"/>
      <c r="V87" s="33"/>
      <c r="W87" s="33"/>
      <c r="X87" s="33"/>
      <c r="Y87" s="33"/>
      <c r="Z87" s="33"/>
    </row>
    <row r="88" ht="33.75" customHeight="1">
      <c r="A88" s="57" t="s">
        <v>739</v>
      </c>
      <c r="B88" s="57" t="s">
        <v>740</v>
      </c>
      <c r="C88" s="57" t="s">
        <v>741</v>
      </c>
      <c r="D88" s="58" t="s">
        <v>706</v>
      </c>
      <c r="E88" s="57" t="s">
        <v>743</v>
      </c>
      <c r="F88" s="57" t="s">
        <v>744</v>
      </c>
      <c r="G88" s="57" t="s">
        <v>745</v>
      </c>
      <c r="H88" s="57" t="s">
        <v>746</v>
      </c>
      <c r="I88" s="59"/>
      <c r="J88" s="59"/>
      <c r="K88" s="62" t="s">
        <v>227</v>
      </c>
      <c r="L88" s="57" t="s">
        <v>275</v>
      </c>
      <c r="M88" s="61">
        <v>46280.0</v>
      </c>
      <c r="N88" s="57" t="s">
        <v>276</v>
      </c>
      <c r="O88" s="33"/>
      <c r="P88" s="33"/>
      <c r="Q88" s="33"/>
      <c r="R88" s="33"/>
      <c r="S88" s="33"/>
      <c r="T88" s="33"/>
      <c r="U88" s="33"/>
      <c r="V88" s="33"/>
      <c r="W88" s="33"/>
      <c r="X88" s="33"/>
      <c r="Y88" s="33"/>
      <c r="Z88" s="33"/>
    </row>
    <row r="89" ht="33.75" customHeight="1">
      <c r="A89" s="56" t="s">
        <v>749</v>
      </c>
      <c r="B89" s="2"/>
      <c r="C89" s="2"/>
      <c r="D89" s="2"/>
      <c r="E89" s="2"/>
      <c r="F89" s="2"/>
      <c r="G89" s="2"/>
      <c r="H89" s="2"/>
      <c r="I89" s="2"/>
      <c r="J89" s="2"/>
      <c r="K89" s="2"/>
      <c r="L89" s="2"/>
      <c r="M89" s="2"/>
      <c r="N89" s="3"/>
      <c r="O89" s="33"/>
      <c r="P89" s="33"/>
      <c r="Q89" s="33"/>
      <c r="R89" s="33"/>
      <c r="S89" s="33"/>
      <c r="T89" s="33"/>
      <c r="U89" s="33"/>
      <c r="V89" s="33"/>
      <c r="W89" s="33"/>
      <c r="X89" s="33"/>
      <c r="Y89" s="33"/>
      <c r="Z89" s="33"/>
    </row>
    <row r="90" ht="33.75" customHeight="1">
      <c r="A90" s="57" t="s">
        <v>752</v>
      </c>
      <c r="B90" s="57" t="s">
        <v>753</v>
      </c>
      <c r="C90" s="57" t="s">
        <v>754</v>
      </c>
      <c r="D90" s="58" t="s">
        <v>755</v>
      </c>
      <c r="E90" s="57" t="s">
        <v>756</v>
      </c>
      <c r="F90" s="57" t="s">
        <v>757</v>
      </c>
      <c r="G90" s="57" t="s">
        <v>758</v>
      </c>
      <c r="H90" s="57" t="s">
        <v>759</v>
      </c>
      <c r="I90" s="59"/>
      <c r="J90" s="59"/>
      <c r="K90" s="60" t="s">
        <v>225</v>
      </c>
      <c r="L90" s="57" t="s">
        <v>275</v>
      </c>
      <c r="M90" s="61">
        <v>46280.0</v>
      </c>
      <c r="N90" s="57" t="s">
        <v>276</v>
      </c>
      <c r="O90" s="33"/>
      <c r="P90" s="33"/>
      <c r="Q90" s="33"/>
      <c r="R90" s="33"/>
      <c r="S90" s="33"/>
      <c r="T90" s="33"/>
      <c r="U90" s="33"/>
      <c r="V90" s="33"/>
      <c r="W90" s="33"/>
      <c r="X90" s="33"/>
      <c r="Y90" s="33"/>
      <c r="Z90" s="33"/>
    </row>
    <row r="91" ht="33.75" customHeight="1">
      <c r="A91" s="57" t="s">
        <v>760</v>
      </c>
      <c r="B91" s="57" t="s">
        <v>761</v>
      </c>
      <c r="C91" s="57" t="s">
        <v>762</v>
      </c>
      <c r="D91" s="58" t="s">
        <v>755</v>
      </c>
      <c r="E91" s="57" t="s">
        <v>763</v>
      </c>
      <c r="F91" s="57" t="s">
        <v>359</v>
      </c>
      <c r="G91" s="57" t="s">
        <v>764</v>
      </c>
      <c r="H91" s="57" t="s">
        <v>765</v>
      </c>
      <c r="I91" s="59"/>
      <c r="J91" s="59"/>
      <c r="K91" s="63" t="s">
        <v>229</v>
      </c>
      <c r="L91" s="57" t="s">
        <v>275</v>
      </c>
      <c r="M91" s="61">
        <v>46280.0</v>
      </c>
      <c r="N91" s="57" t="s">
        <v>314</v>
      </c>
      <c r="O91" s="33"/>
      <c r="P91" s="33"/>
      <c r="Q91" s="33"/>
      <c r="R91" s="33"/>
      <c r="S91" s="33"/>
      <c r="T91" s="33"/>
      <c r="U91" s="33"/>
      <c r="V91" s="33"/>
      <c r="W91" s="33"/>
      <c r="X91" s="33"/>
      <c r="Y91" s="33"/>
      <c r="Z91" s="33"/>
    </row>
    <row r="92" ht="33.75" customHeight="1">
      <c r="A92" s="57" t="s">
        <v>767</v>
      </c>
      <c r="B92" s="57" t="s">
        <v>768</v>
      </c>
      <c r="C92" s="57" t="s">
        <v>357</v>
      </c>
      <c r="D92" s="58" t="s">
        <v>755</v>
      </c>
      <c r="E92" s="57" t="s">
        <v>358</v>
      </c>
      <c r="F92" s="57" t="s">
        <v>359</v>
      </c>
      <c r="G92" s="57" t="s">
        <v>360</v>
      </c>
      <c r="H92" s="57" t="s">
        <v>361</v>
      </c>
      <c r="I92" s="59"/>
      <c r="J92" s="59"/>
      <c r="K92" s="62" t="s">
        <v>227</v>
      </c>
      <c r="L92" s="57" t="s">
        <v>275</v>
      </c>
      <c r="M92" s="61">
        <v>46280.0</v>
      </c>
      <c r="N92" s="57" t="s">
        <v>276</v>
      </c>
      <c r="O92" s="33"/>
      <c r="P92" s="33"/>
      <c r="Q92" s="33"/>
      <c r="R92" s="33"/>
      <c r="S92" s="33"/>
      <c r="T92" s="33"/>
      <c r="U92" s="33"/>
      <c r="V92" s="33"/>
      <c r="W92" s="33"/>
      <c r="X92" s="33"/>
      <c r="Y92" s="33"/>
      <c r="Z92" s="33"/>
    </row>
    <row r="93" ht="33.75" customHeight="1">
      <c r="A93" s="57" t="s">
        <v>776</v>
      </c>
      <c r="B93" s="57" t="s">
        <v>777</v>
      </c>
      <c r="C93" s="57" t="s">
        <v>364</v>
      </c>
      <c r="D93" s="58" t="s">
        <v>755</v>
      </c>
      <c r="E93" s="57" t="s">
        <v>365</v>
      </c>
      <c r="F93" s="57" t="s">
        <v>366</v>
      </c>
      <c r="G93" s="57" t="s">
        <v>367</v>
      </c>
      <c r="H93" s="57" t="s">
        <v>368</v>
      </c>
      <c r="I93" s="59"/>
      <c r="J93" s="59"/>
      <c r="K93" s="60" t="s">
        <v>225</v>
      </c>
      <c r="L93" s="57" t="s">
        <v>275</v>
      </c>
      <c r="M93" s="61">
        <v>46280.0</v>
      </c>
      <c r="N93" s="57" t="s">
        <v>337</v>
      </c>
      <c r="O93" s="33"/>
      <c r="P93" s="33"/>
      <c r="Q93" s="33"/>
      <c r="R93" s="33"/>
      <c r="S93" s="33"/>
      <c r="T93" s="33"/>
      <c r="U93" s="33"/>
      <c r="V93" s="33"/>
      <c r="W93" s="33"/>
      <c r="X93" s="33"/>
      <c r="Y93" s="33"/>
      <c r="Z93" s="33"/>
    </row>
    <row r="94" ht="33.75" customHeight="1">
      <c r="A94" s="57" t="s">
        <v>781</v>
      </c>
      <c r="B94" s="57" t="s">
        <v>782</v>
      </c>
      <c r="C94" s="57" t="s">
        <v>371</v>
      </c>
      <c r="D94" s="58" t="s">
        <v>755</v>
      </c>
      <c r="E94" s="57" t="s">
        <v>372</v>
      </c>
      <c r="F94" s="57" t="s">
        <v>373</v>
      </c>
      <c r="G94" s="57" t="s">
        <v>374</v>
      </c>
      <c r="H94" s="57" t="s">
        <v>787</v>
      </c>
      <c r="I94" s="59"/>
      <c r="J94" s="59"/>
      <c r="K94" s="60" t="s">
        <v>225</v>
      </c>
      <c r="L94" s="57" t="s">
        <v>275</v>
      </c>
      <c r="M94" s="61">
        <v>46280.0</v>
      </c>
      <c r="N94" s="57" t="s">
        <v>337</v>
      </c>
      <c r="O94" s="33"/>
      <c r="P94" s="33"/>
      <c r="Q94" s="33"/>
      <c r="R94" s="33"/>
      <c r="S94" s="33"/>
      <c r="T94" s="33"/>
      <c r="U94" s="33"/>
      <c r="V94" s="33"/>
      <c r="W94" s="33"/>
      <c r="X94" s="33"/>
      <c r="Y94" s="33"/>
      <c r="Z94" s="33"/>
    </row>
    <row r="95" ht="33.75" customHeight="1">
      <c r="A95" s="57" t="s">
        <v>791</v>
      </c>
      <c r="B95" s="57" t="s">
        <v>793</v>
      </c>
      <c r="C95" s="57" t="s">
        <v>378</v>
      </c>
      <c r="D95" s="58" t="s">
        <v>796</v>
      </c>
      <c r="E95" s="57" t="s">
        <v>380</v>
      </c>
      <c r="F95" s="57" t="s">
        <v>381</v>
      </c>
      <c r="G95" s="57" t="s">
        <v>382</v>
      </c>
      <c r="H95" s="57" t="s">
        <v>383</v>
      </c>
      <c r="I95" s="59"/>
      <c r="J95" s="59"/>
      <c r="K95" s="60" t="s">
        <v>225</v>
      </c>
      <c r="L95" s="57" t="s">
        <v>275</v>
      </c>
      <c r="M95" s="61">
        <v>46280.0</v>
      </c>
      <c r="N95" s="57" t="s">
        <v>337</v>
      </c>
      <c r="O95" s="33"/>
      <c r="P95" s="33"/>
      <c r="Q95" s="33"/>
      <c r="R95" s="33"/>
      <c r="S95" s="33"/>
      <c r="T95" s="33"/>
      <c r="U95" s="33"/>
      <c r="V95" s="33"/>
      <c r="W95" s="33"/>
      <c r="X95" s="33"/>
      <c r="Y95" s="33"/>
      <c r="Z95" s="33"/>
    </row>
    <row r="96" ht="33.75" customHeight="1">
      <c r="A96" s="57" t="s">
        <v>802</v>
      </c>
      <c r="B96" s="57" t="s">
        <v>804</v>
      </c>
      <c r="C96" s="57" t="s">
        <v>386</v>
      </c>
      <c r="D96" s="58" t="s">
        <v>806</v>
      </c>
      <c r="E96" s="57" t="s">
        <v>388</v>
      </c>
      <c r="F96" s="57" t="s">
        <v>389</v>
      </c>
      <c r="G96" s="57" t="s">
        <v>390</v>
      </c>
      <c r="H96" s="57" t="s">
        <v>391</v>
      </c>
      <c r="I96" s="59"/>
      <c r="J96" s="59"/>
      <c r="K96" s="62" t="s">
        <v>227</v>
      </c>
      <c r="L96" s="57" t="s">
        <v>275</v>
      </c>
      <c r="M96" s="61">
        <v>46280.0</v>
      </c>
      <c r="N96" s="57" t="s">
        <v>276</v>
      </c>
      <c r="O96" s="33"/>
      <c r="P96" s="33"/>
      <c r="Q96" s="33"/>
      <c r="R96" s="33"/>
      <c r="S96" s="33"/>
      <c r="T96" s="33"/>
      <c r="U96" s="33"/>
      <c r="V96" s="33"/>
      <c r="W96" s="33"/>
      <c r="X96" s="33"/>
      <c r="Y96" s="33"/>
      <c r="Z96" s="33"/>
    </row>
    <row r="97" ht="33.75" customHeight="1">
      <c r="A97" s="57" t="s">
        <v>812</v>
      </c>
      <c r="B97" s="57" t="s">
        <v>813</v>
      </c>
      <c r="C97" s="57" t="s">
        <v>394</v>
      </c>
      <c r="D97" s="58" t="s">
        <v>755</v>
      </c>
      <c r="E97" s="57" t="s">
        <v>395</v>
      </c>
      <c r="F97" s="57" t="s">
        <v>396</v>
      </c>
      <c r="G97" s="57" t="s">
        <v>397</v>
      </c>
      <c r="H97" s="57" t="s">
        <v>398</v>
      </c>
      <c r="I97" s="59"/>
      <c r="J97" s="59"/>
      <c r="K97" s="62" t="s">
        <v>227</v>
      </c>
      <c r="L97" s="57" t="s">
        <v>275</v>
      </c>
      <c r="M97" s="61">
        <v>46280.0</v>
      </c>
      <c r="N97" s="57" t="s">
        <v>276</v>
      </c>
      <c r="O97" s="33"/>
      <c r="P97" s="33"/>
      <c r="Q97" s="33"/>
      <c r="R97" s="33"/>
      <c r="S97" s="33"/>
      <c r="T97" s="33"/>
      <c r="U97" s="33"/>
      <c r="V97" s="33"/>
      <c r="W97" s="33"/>
      <c r="X97" s="33"/>
      <c r="Y97" s="33"/>
      <c r="Z97" s="33"/>
    </row>
    <row r="98" ht="33.75" customHeight="1">
      <c r="A98" s="57" t="s">
        <v>819</v>
      </c>
      <c r="B98" s="57" t="s">
        <v>821</v>
      </c>
      <c r="C98" s="57" t="s">
        <v>401</v>
      </c>
      <c r="D98" s="58" t="s">
        <v>755</v>
      </c>
      <c r="E98" s="57" t="s">
        <v>402</v>
      </c>
      <c r="F98" s="57" t="s">
        <v>403</v>
      </c>
      <c r="G98" s="57" t="s">
        <v>404</v>
      </c>
      <c r="H98" s="57" t="s">
        <v>405</v>
      </c>
      <c r="I98" s="59"/>
      <c r="J98" s="59"/>
      <c r="K98" s="62" t="s">
        <v>227</v>
      </c>
      <c r="L98" s="57" t="s">
        <v>275</v>
      </c>
      <c r="M98" s="61">
        <v>46280.0</v>
      </c>
      <c r="N98" s="57" t="s">
        <v>276</v>
      </c>
      <c r="O98" s="33"/>
      <c r="P98" s="33"/>
      <c r="Q98" s="33"/>
      <c r="R98" s="33"/>
      <c r="S98" s="33"/>
      <c r="T98" s="33"/>
      <c r="U98" s="33"/>
      <c r="V98" s="33"/>
      <c r="W98" s="33"/>
      <c r="X98" s="33"/>
      <c r="Y98" s="33"/>
      <c r="Z98" s="33"/>
    </row>
    <row r="99" ht="33.75" customHeight="1">
      <c r="A99" s="57" t="s">
        <v>823</v>
      </c>
      <c r="B99" s="57" t="s">
        <v>824</v>
      </c>
      <c r="C99" s="57" t="s">
        <v>408</v>
      </c>
      <c r="D99" s="58" t="s">
        <v>755</v>
      </c>
      <c r="E99" s="57" t="s">
        <v>409</v>
      </c>
      <c r="F99" s="57" t="s">
        <v>410</v>
      </c>
      <c r="G99" s="57" t="s">
        <v>411</v>
      </c>
      <c r="H99" s="57" t="s">
        <v>368</v>
      </c>
      <c r="I99" s="59"/>
      <c r="J99" s="59"/>
      <c r="K99" s="62" t="s">
        <v>227</v>
      </c>
      <c r="L99" s="57" t="s">
        <v>275</v>
      </c>
      <c r="M99" s="61">
        <v>46280.0</v>
      </c>
      <c r="N99" s="57" t="s">
        <v>276</v>
      </c>
      <c r="O99" s="33"/>
      <c r="P99" s="33"/>
      <c r="Q99" s="33"/>
      <c r="R99" s="33"/>
      <c r="S99" s="33"/>
      <c r="T99" s="33"/>
      <c r="U99" s="33"/>
      <c r="V99" s="33"/>
      <c r="W99" s="33"/>
      <c r="X99" s="33"/>
      <c r="Y99" s="33"/>
      <c r="Z99" s="33"/>
    </row>
    <row r="100" ht="33.75" customHeight="1">
      <c r="A100" s="57" t="s">
        <v>825</v>
      </c>
      <c r="B100" s="57" t="s">
        <v>826</v>
      </c>
      <c r="C100" s="57" t="s">
        <v>414</v>
      </c>
      <c r="D100" s="58" t="s">
        <v>828</v>
      </c>
      <c r="E100" s="57" t="s">
        <v>416</v>
      </c>
      <c r="F100" s="57" t="s">
        <v>417</v>
      </c>
      <c r="G100" s="57" t="s">
        <v>829</v>
      </c>
      <c r="H100" s="57" t="s">
        <v>830</v>
      </c>
      <c r="I100" s="59"/>
      <c r="J100" s="59"/>
      <c r="K100" s="63" t="s">
        <v>229</v>
      </c>
      <c r="L100" s="57" t="s">
        <v>275</v>
      </c>
      <c r="M100" s="61">
        <v>46280.0</v>
      </c>
      <c r="N100" s="57" t="s">
        <v>337</v>
      </c>
      <c r="O100" s="33"/>
      <c r="P100" s="33"/>
      <c r="Q100" s="33"/>
      <c r="R100" s="33"/>
      <c r="S100" s="33"/>
      <c r="T100" s="33"/>
      <c r="U100" s="33"/>
      <c r="V100" s="33"/>
      <c r="W100" s="33"/>
      <c r="X100" s="33"/>
      <c r="Y100" s="33"/>
      <c r="Z100" s="33"/>
    </row>
    <row r="101" ht="33.75" customHeight="1">
      <c r="A101" s="57" t="s">
        <v>831</v>
      </c>
      <c r="B101" s="57" t="s">
        <v>832</v>
      </c>
      <c r="C101" s="57" t="s">
        <v>422</v>
      </c>
      <c r="D101" s="58" t="s">
        <v>755</v>
      </c>
      <c r="E101" s="57" t="s">
        <v>423</v>
      </c>
      <c r="F101" s="57" t="s">
        <v>834</v>
      </c>
      <c r="G101" s="57" t="s">
        <v>425</v>
      </c>
      <c r="H101" s="57" t="s">
        <v>426</v>
      </c>
      <c r="I101" s="59"/>
      <c r="J101" s="59"/>
      <c r="K101" s="63" t="s">
        <v>229</v>
      </c>
      <c r="L101" s="57" t="s">
        <v>275</v>
      </c>
      <c r="M101" s="61">
        <v>46280.0</v>
      </c>
      <c r="N101" s="57" t="s">
        <v>427</v>
      </c>
      <c r="O101" s="33"/>
      <c r="P101" s="33"/>
      <c r="Q101" s="33"/>
      <c r="R101" s="33"/>
      <c r="S101" s="33"/>
      <c r="T101" s="33"/>
      <c r="U101" s="33"/>
      <c r="V101" s="33"/>
      <c r="W101" s="33"/>
      <c r="X101" s="33"/>
      <c r="Y101" s="33"/>
      <c r="Z101" s="33"/>
    </row>
    <row r="102" ht="33.75" customHeight="1">
      <c r="A102" s="56" t="s">
        <v>835</v>
      </c>
      <c r="B102" s="2"/>
      <c r="C102" s="2"/>
      <c r="D102" s="2"/>
      <c r="E102" s="2"/>
      <c r="F102" s="2"/>
      <c r="G102" s="2"/>
      <c r="H102" s="2"/>
      <c r="I102" s="2"/>
      <c r="J102" s="2"/>
      <c r="K102" s="2"/>
      <c r="L102" s="2"/>
      <c r="M102" s="2"/>
      <c r="N102" s="3"/>
      <c r="O102" s="33"/>
      <c r="P102" s="33"/>
      <c r="Q102" s="33"/>
      <c r="R102" s="33"/>
      <c r="S102" s="33"/>
      <c r="T102" s="33"/>
      <c r="U102" s="33"/>
      <c r="V102" s="33"/>
      <c r="W102" s="33"/>
      <c r="X102" s="33"/>
      <c r="Y102" s="33"/>
      <c r="Z102" s="33"/>
    </row>
    <row r="103" ht="33.75" customHeight="1">
      <c r="A103" s="57" t="s">
        <v>836</v>
      </c>
      <c r="B103" s="57" t="s">
        <v>837</v>
      </c>
      <c r="C103" s="57" t="s">
        <v>431</v>
      </c>
      <c r="D103" s="58" t="s">
        <v>838</v>
      </c>
      <c r="E103" s="57" t="s">
        <v>433</v>
      </c>
      <c r="F103" s="57" t="s">
        <v>434</v>
      </c>
      <c r="G103" s="57" t="s">
        <v>435</v>
      </c>
      <c r="H103" s="57" t="s">
        <v>436</v>
      </c>
      <c r="I103" s="59"/>
      <c r="J103" s="59"/>
      <c r="K103" s="62" t="s">
        <v>227</v>
      </c>
      <c r="L103" s="57" t="s">
        <v>275</v>
      </c>
      <c r="M103" s="61">
        <v>46280.0</v>
      </c>
      <c r="N103" s="57" t="s">
        <v>276</v>
      </c>
      <c r="O103" s="33"/>
      <c r="P103" s="33"/>
      <c r="Q103" s="33"/>
      <c r="R103" s="33"/>
      <c r="S103" s="33"/>
      <c r="T103" s="33"/>
      <c r="U103" s="33"/>
      <c r="V103" s="33"/>
      <c r="W103" s="33"/>
      <c r="X103" s="33"/>
      <c r="Y103" s="33"/>
      <c r="Z103" s="33"/>
    </row>
    <row r="104" ht="33.75" customHeight="1">
      <c r="A104" s="57" t="s">
        <v>839</v>
      </c>
      <c r="B104" s="57" t="s">
        <v>840</v>
      </c>
      <c r="C104" s="57" t="s">
        <v>439</v>
      </c>
      <c r="D104" s="58" t="s">
        <v>838</v>
      </c>
      <c r="E104" s="57" t="s">
        <v>440</v>
      </c>
      <c r="F104" s="57" t="s">
        <v>441</v>
      </c>
      <c r="G104" s="57" t="s">
        <v>442</v>
      </c>
      <c r="H104" s="57" t="s">
        <v>443</v>
      </c>
      <c r="I104" s="59"/>
      <c r="J104" s="59"/>
      <c r="K104" s="60" t="s">
        <v>225</v>
      </c>
      <c r="L104" s="57" t="s">
        <v>275</v>
      </c>
      <c r="M104" s="61">
        <v>46280.0</v>
      </c>
      <c r="N104" s="57" t="s">
        <v>276</v>
      </c>
      <c r="O104" s="33"/>
      <c r="P104" s="33"/>
      <c r="Q104" s="33"/>
      <c r="R104" s="33"/>
      <c r="S104" s="33"/>
      <c r="T104" s="33"/>
      <c r="U104" s="33"/>
      <c r="V104" s="33"/>
      <c r="W104" s="33"/>
      <c r="X104" s="33"/>
      <c r="Y104" s="33"/>
      <c r="Z104" s="33"/>
    </row>
    <row r="105" ht="33.75" customHeight="1">
      <c r="A105" s="57" t="s">
        <v>845</v>
      </c>
      <c r="B105" s="57" t="s">
        <v>846</v>
      </c>
      <c r="C105" s="57" t="s">
        <v>446</v>
      </c>
      <c r="D105" s="58" t="s">
        <v>847</v>
      </c>
      <c r="E105" s="57" t="s">
        <v>448</v>
      </c>
      <c r="F105" s="57" t="s">
        <v>449</v>
      </c>
      <c r="G105" s="57" t="s">
        <v>450</v>
      </c>
      <c r="H105" s="57" t="s">
        <v>451</v>
      </c>
      <c r="I105" s="59"/>
      <c r="J105" s="59"/>
      <c r="K105" s="60" t="s">
        <v>225</v>
      </c>
      <c r="L105" s="57" t="s">
        <v>275</v>
      </c>
      <c r="M105" s="61">
        <v>46280.0</v>
      </c>
      <c r="N105" s="57" t="s">
        <v>337</v>
      </c>
      <c r="O105" s="33"/>
      <c r="P105" s="33"/>
      <c r="Q105" s="33"/>
      <c r="R105" s="33"/>
      <c r="S105" s="33"/>
      <c r="T105" s="33"/>
      <c r="U105" s="33"/>
      <c r="V105" s="33"/>
      <c r="W105" s="33"/>
      <c r="X105" s="33"/>
      <c r="Y105" s="33"/>
      <c r="Z105" s="33"/>
    </row>
    <row r="106" ht="33.75" customHeight="1">
      <c r="A106" s="57" t="s">
        <v>848</v>
      </c>
      <c r="B106" s="57" t="s">
        <v>849</v>
      </c>
      <c r="C106" s="57" t="s">
        <v>454</v>
      </c>
      <c r="D106" s="58" t="s">
        <v>838</v>
      </c>
      <c r="E106" s="57" t="s">
        <v>455</v>
      </c>
      <c r="F106" s="57" t="s">
        <v>456</v>
      </c>
      <c r="G106" s="57" t="s">
        <v>457</v>
      </c>
      <c r="H106" s="57" t="s">
        <v>458</v>
      </c>
      <c r="I106" s="59"/>
      <c r="J106" s="59"/>
      <c r="K106" s="62" t="s">
        <v>227</v>
      </c>
      <c r="L106" s="57" t="s">
        <v>275</v>
      </c>
      <c r="M106" s="61">
        <v>46280.0</v>
      </c>
      <c r="N106" s="57" t="s">
        <v>276</v>
      </c>
      <c r="O106" s="33"/>
      <c r="P106" s="33"/>
      <c r="Q106" s="33"/>
      <c r="R106" s="33"/>
      <c r="S106" s="33"/>
      <c r="T106" s="33"/>
      <c r="U106" s="33"/>
      <c r="V106" s="33"/>
      <c r="W106" s="33"/>
      <c r="X106" s="33"/>
      <c r="Y106" s="33"/>
      <c r="Z106" s="33"/>
    </row>
    <row r="107" ht="33.75" customHeight="1">
      <c r="A107" s="57" t="s">
        <v>854</v>
      </c>
      <c r="B107" s="57" t="s">
        <v>855</v>
      </c>
      <c r="C107" s="57" t="s">
        <v>461</v>
      </c>
      <c r="D107" s="58" t="s">
        <v>838</v>
      </c>
      <c r="E107" s="57" t="s">
        <v>462</v>
      </c>
      <c r="F107" s="57" t="s">
        <v>1222</v>
      </c>
      <c r="G107" s="57" t="s">
        <v>1223</v>
      </c>
      <c r="H107" s="57" t="s">
        <v>465</v>
      </c>
      <c r="I107" s="59"/>
      <c r="J107" s="59" t="s">
        <v>234</v>
      </c>
      <c r="K107" s="62" t="s">
        <v>227</v>
      </c>
      <c r="L107" s="57" t="s">
        <v>275</v>
      </c>
      <c r="M107" s="61">
        <v>46280.0</v>
      </c>
      <c r="N107" s="57" t="s">
        <v>276</v>
      </c>
      <c r="O107" s="33"/>
      <c r="P107" s="33"/>
      <c r="Q107" s="33"/>
      <c r="R107" s="33"/>
      <c r="S107" s="33"/>
      <c r="T107" s="33"/>
      <c r="U107" s="33"/>
      <c r="V107" s="33"/>
      <c r="W107" s="33"/>
      <c r="X107" s="33"/>
      <c r="Y107" s="33"/>
      <c r="Z107" s="33"/>
    </row>
    <row r="108" ht="33.75" customHeight="1">
      <c r="A108" s="57" t="s">
        <v>859</v>
      </c>
      <c r="B108" s="57" t="s">
        <v>860</v>
      </c>
      <c r="C108" s="57" t="s">
        <v>468</v>
      </c>
      <c r="D108" s="58" t="s">
        <v>838</v>
      </c>
      <c r="E108" s="57" t="s">
        <v>469</v>
      </c>
      <c r="F108" s="57" t="s">
        <v>470</v>
      </c>
      <c r="G108" s="57" t="s">
        <v>471</v>
      </c>
      <c r="H108" s="57" t="s">
        <v>472</v>
      </c>
      <c r="I108" s="59"/>
      <c r="J108" s="59"/>
      <c r="K108" s="62" t="s">
        <v>227</v>
      </c>
      <c r="L108" s="57" t="s">
        <v>275</v>
      </c>
      <c r="M108" s="61">
        <v>46280.0</v>
      </c>
      <c r="N108" s="57" t="s">
        <v>276</v>
      </c>
      <c r="O108" s="33"/>
      <c r="P108" s="33"/>
      <c r="Q108" s="33"/>
      <c r="R108" s="33"/>
      <c r="S108" s="33"/>
      <c r="T108" s="33"/>
      <c r="U108" s="33"/>
      <c r="V108" s="33"/>
      <c r="W108" s="33"/>
      <c r="X108" s="33"/>
      <c r="Y108" s="33"/>
      <c r="Z108" s="33"/>
    </row>
    <row r="109" ht="33.75" customHeight="1">
      <c r="A109" s="57" t="s">
        <v>864</v>
      </c>
      <c r="B109" s="57" t="s">
        <v>865</v>
      </c>
      <c r="C109" s="57" t="s">
        <v>475</v>
      </c>
      <c r="D109" s="58" t="s">
        <v>838</v>
      </c>
      <c r="E109" s="57" t="s">
        <v>866</v>
      </c>
      <c r="F109" s="57" t="s">
        <v>359</v>
      </c>
      <c r="G109" s="57" t="s">
        <v>867</v>
      </c>
      <c r="H109" s="57" t="s">
        <v>361</v>
      </c>
      <c r="I109" s="59"/>
      <c r="J109" s="59"/>
      <c r="K109" s="62" t="s">
        <v>227</v>
      </c>
      <c r="L109" s="57" t="s">
        <v>275</v>
      </c>
      <c r="M109" s="61">
        <v>46280.0</v>
      </c>
      <c r="N109" s="57" t="s">
        <v>337</v>
      </c>
      <c r="O109" s="33"/>
      <c r="P109" s="33"/>
      <c r="Q109" s="33"/>
      <c r="R109" s="33"/>
      <c r="S109" s="33"/>
      <c r="T109" s="33"/>
      <c r="U109" s="33"/>
      <c r="V109" s="33"/>
      <c r="W109" s="33"/>
      <c r="X109" s="33"/>
      <c r="Y109" s="33"/>
      <c r="Z109" s="33"/>
    </row>
    <row r="110" ht="33.75" customHeight="1">
      <c r="A110" s="57" t="s">
        <v>870</v>
      </c>
      <c r="B110" s="57" t="s">
        <v>871</v>
      </c>
      <c r="C110" s="57" t="s">
        <v>481</v>
      </c>
      <c r="D110" s="58" t="s">
        <v>838</v>
      </c>
      <c r="E110" s="57" t="s">
        <v>482</v>
      </c>
      <c r="F110" s="57" t="s">
        <v>483</v>
      </c>
      <c r="G110" s="57" t="s">
        <v>484</v>
      </c>
      <c r="H110" s="57" t="s">
        <v>485</v>
      </c>
      <c r="I110" s="59"/>
      <c r="J110" s="59"/>
      <c r="K110" s="63" t="s">
        <v>229</v>
      </c>
      <c r="L110" s="57" t="s">
        <v>275</v>
      </c>
      <c r="M110" s="61">
        <v>46280.0</v>
      </c>
      <c r="N110" s="57" t="s">
        <v>276</v>
      </c>
      <c r="O110" s="33"/>
      <c r="P110" s="33"/>
      <c r="Q110" s="33"/>
      <c r="R110" s="33"/>
      <c r="S110" s="33"/>
      <c r="T110" s="33"/>
      <c r="U110" s="33"/>
      <c r="V110" s="33"/>
      <c r="W110" s="33"/>
      <c r="X110" s="33"/>
      <c r="Y110" s="33"/>
      <c r="Z110" s="33"/>
    </row>
    <row r="111" ht="33.75" customHeight="1">
      <c r="A111" s="56" t="s">
        <v>875</v>
      </c>
      <c r="B111" s="2"/>
      <c r="C111" s="2"/>
      <c r="D111" s="2"/>
      <c r="E111" s="2"/>
      <c r="F111" s="2"/>
      <c r="G111" s="2"/>
      <c r="H111" s="2"/>
      <c r="I111" s="2"/>
      <c r="J111" s="2"/>
      <c r="K111" s="2"/>
      <c r="L111" s="2"/>
      <c r="M111" s="2"/>
      <c r="N111" s="3"/>
      <c r="O111" s="33"/>
      <c r="P111" s="33"/>
      <c r="Q111" s="33"/>
      <c r="R111" s="33"/>
      <c r="S111" s="33"/>
      <c r="T111" s="33"/>
      <c r="U111" s="33"/>
      <c r="V111" s="33"/>
      <c r="W111" s="33"/>
      <c r="X111" s="33"/>
      <c r="Y111" s="33"/>
      <c r="Z111" s="33"/>
    </row>
    <row r="112" ht="33.75" customHeight="1">
      <c r="A112" s="57" t="s">
        <v>883</v>
      </c>
      <c r="B112" s="57" t="s">
        <v>885</v>
      </c>
      <c r="C112" s="57" t="s">
        <v>489</v>
      </c>
      <c r="D112" s="58" t="s">
        <v>886</v>
      </c>
      <c r="E112" s="57" t="s">
        <v>491</v>
      </c>
      <c r="F112" s="57" t="s">
        <v>492</v>
      </c>
      <c r="G112" s="57" t="s">
        <v>887</v>
      </c>
      <c r="H112" s="57" t="s">
        <v>494</v>
      </c>
      <c r="I112" s="59"/>
      <c r="J112" s="59"/>
      <c r="K112" s="62" t="s">
        <v>227</v>
      </c>
      <c r="L112" s="57" t="s">
        <v>275</v>
      </c>
      <c r="M112" s="61">
        <v>46280.0</v>
      </c>
      <c r="N112" s="57" t="s">
        <v>276</v>
      </c>
      <c r="O112" s="33"/>
      <c r="P112" s="33"/>
      <c r="Q112" s="33"/>
      <c r="R112" s="33"/>
      <c r="S112" s="33"/>
      <c r="T112" s="33"/>
      <c r="U112" s="33"/>
      <c r="V112" s="33"/>
      <c r="W112" s="33"/>
      <c r="X112" s="33"/>
      <c r="Y112" s="33"/>
      <c r="Z112" s="33"/>
    </row>
    <row r="113" ht="33.75" customHeight="1">
      <c r="A113" s="57" t="s">
        <v>889</v>
      </c>
      <c r="B113" s="57" t="s">
        <v>890</v>
      </c>
      <c r="C113" s="57" t="s">
        <v>497</v>
      </c>
      <c r="D113" s="58" t="s">
        <v>891</v>
      </c>
      <c r="E113" s="57" t="s">
        <v>499</v>
      </c>
      <c r="F113" s="57" t="s">
        <v>893</v>
      </c>
      <c r="G113" s="57" t="s">
        <v>894</v>
      </c>
      <c r="H113" s="57" t="s">
        <v>895</v>
      </c>
      <c r="I113" s="59"/>
      <c r="J113" s="59"/>
      <c r="K113" s="60" t="s">
        <v>225</v>
      </c>
      <c r="L113" s="57" t="s">
        <v>275</v>
      </c>
      <c r="M113" s="61">
        <v>46280.0</v>
      </c>
      <c r="N113" s="57" t="s">
        <v>337</v>
      </c>
      <c r="O113" s="33"/>
      <c r="P113" s="33"/>
      <c r="Q113" s="33"/>
      <c r="R113" s="33"/>
      <c r="S113" s="33"/>
      <c r="T113" s="33"/>
      <c r="U113" s="33"/>
      <c r="V113" s="33"/>
      <c r="W113" s="33"/>
      <c r="X113" s="33"/>
      <c r="Y113" s="33"/>
      <c r="Z113" s="33"/>
    </row>
    <row r="114" ht="33.75" customHeight="1">
      <c r="A114" s="57" t="s">
        <v>896</v>
      </c>
      <c r="B114" s="57" t="s">
        <v>897</v>
      </c>
      <c r="C114" s="57" t="s">
        <v>505</v>
      </c>
      <c r="D114" s="58" t="s">
        <v>706</v>
      </c>
      <c r="E114" s="57" t="s">
        <v>506</v>
      </c>
      <c r="F114" s="57" t="s">
        <v>507</v>
      </c>
      <c r="G114" s="57" t="s">
        <v>508</v>
      </c>
      <c r="H114" s="57" t="s">
        <v>509</v>
      </c>
      <c r="I114" s="59"/>
      <c r="J114" s="59"/>
      <c r="K114" s="60" t="s">
        <v>225</v>
      </c>
      <c r="L114" s="57" t="s">
        <v>275</v>
      </c>
      <c r="M114" s="61">
        <v>46280.0</v>
      </c>
      <c r="N114" s="57" t="s">
        <v>345</v>
      </c>
      <c r="O114" s="33"/>
      <c r="P114" s="33"/>
      <c r="Q114" s="33"/>
      <c r="R114" s="33"/>
      <c r="S114" s="33"/>
      <c r="T114" s="33"/>
      <c r="U114" s="33"/>
      <c r="V114" s="33"/>
      <c r="W114" s="33"/>
      <c r="X114" s="33"/>
      <c r="Y114" s="33"/>
      <c r="Z114" s="33"/>
    </row>
    <row r="115" ht="33.75" customHeight="1">
      <c r="A115" s="57" t="s">
        <v>898</v>
      </c>
      <c r="B115" s="57" t="s">
        <v>899</v>
      </c>
      <c r="C115" s="57" t="s">
        <v>512</v>
      </c>
      <c r="D115" s="58" t="s">
        <v>706</v>
      </c>
      <c r="E115" s="57" t="s">
        <v>513</v>
      </c>
      <c r="F115" s="57" t="s">
        <v>514</v>
      </c>
      <c r="G115" s="57" t="s">
        <v>515</v>
      </c>
      <c r="H115" s="57" t="s">
        <v>516</v>
      </c>
      <c r="I115" s="59"/>
      <c r="J115" s="59"/>
      <c r="K115" s="63" t="s">
        <v>229</v>
      </c>
      <c r="L115" s="57" t="s">
        <v>275</v>
      </c>
      <c r="M115" s="61">
        <v>46280.0</v>
      </c>
      <c r="N115" s="57" t="s">
        <v>276</v>
      </c>
      <c r="O115" s="33"/>
      <c r="P115" s="33"/>
      <c r="Q115" s="33"/>
      <c r="R115" s="33"/>
      <c r="S115" s="33"/>
      <c r="T115" s="33"/>
      <c r="U115" s="33"/>
      <c r="V115" s="33"/>
      <c r="W115" s="33"/>
      <c r="X115" s="33"/>
      <c r="Y115" s="33"/>
      <c r="Z115" s="33"/>
    </row>
    <row r="116" ht="33.75" customHeight="1">
      <c r="A116" s="56" t="s">
        <v>900</v>
      </c>
      <c r="B116" s="2"/>
      <c r="C116" s="2"/>
      <c r="D116" s="2"/>
      <c r="E116" s="2"/>
      <c r="F116" s="2"/>
      <c r="G116" s="2"/>
      <c r="H116" s="2"/>
      <c r="I116" s="2"/>
      <c r="J116" s="2"/>
      <c r="K116" s="2"/>
      <c r="L116" s="2"/>
      <c r="M116" s="2"/>
      <c r="N116" s="3"/>
      <c r="O116" s="33"/>
      <c r="P116" s="33"/>
      <c r="Q116" s="33"/>
      <c r="R116" s="33"/>
      <c r="S116" s="33"/>
      <c r="T116" s="33"/>
      <c r="U116" s="33"/>
      <c r="V116" s="33"/>
      <c r="W116" s="33"/>
      <c r="X116" s="33"/>
      <c r="Y116" s="33"/>
      <c r="Z116" s="33"/>
    </row>
    <row r="117" ht="33.75" customHeight="1">
      <c r="A117" s="57" t="s">
        <v>904</v>
      </c>
      <c r="B117" s="57" t="s">
        <v>906</v>
      </c>
      <c r="C117" s="57" t="s">
        <v>907</v>
      </c>
      <c r="D117" s="58" t="s">
        <v>755</v>
      </c>
      <c r="E117" s="57" t="s">
        <v>909</v>
      </c>
      <c r="F117" s="57" t="s">
        <v>522</v>
      </c>
      <c r="G117" s="57" t="s">
        <v>910</v>
      </c>
      <c r="H117" s="57" t="s">
        <v>524</v>
      </c>
      <c r="I117" s="59"/>
      <c r="J117" s="59"/>
      <c r="K117" s="62" t="s">
        <v>227</v>
      </c>
      <c r="L117" s="57" t="s">
        <v>275</v>
      </c>
      <c r="M117" s="61">
        <v>46280.0</v>
      </c>
      <c r="N117" s="57" t="s">
        <v>276</v>
      </c>
      <c r="O117" s="33"/>
      <c r="P117" s="33"/>
      <c r="Q117" s="33"/>
      <c r="R117" s="33"/>
      <c r="S117" s="33"/>
      <c r="T117" s="33"/>
      <c r="U117" s="33"/>
      <c r="V117" s="33"/>
      <c r="W117" s="33"/>
      <c r="X117" s="33"/>
      <c r="Y117" s="33"/>
      <c r="Z117" s="33"/>
    </row>
    <row r="118" ht="33.75" customHeight="1">
      <c r="A118" s="57" t="s">
        <v>912</v>
      </c>
      <c r="B118" s="57" t="s">
        <v>913</v>
      </c>
      <c r="C118" s="57" t="s">
        <v>540</v>
      </c>
      <c r="D118" s="58" t="s">
        <v>755</v>
      </c>
      <c r="E118" s="57" t="s">
        <v>541</v>
      </c>
      <c r="F118" s="57" t="s">
        <v>542</v>
      </c>
      <c r="G118" s="57" t="s">
        <v>543</v>
      </c>
      <c r="H118" s="57" t="s">
        <v>544</v>
      </c>
      <c r="I118" s="59"/>
      <c r="J118" s="59"/>
      <c r="K118" s="62" t="s">
        <v>227</v>
      </c>
      <c r="L118" s="57" t="s">
        <v>275</v>
      </c>
      <c r="M118" s="61">
        <v>46280.0</v>
      </c>
      <c r="N118" s="57" t="s">
        <v>276</v>
      </c>
      <c r="O118" s="33"/>
      <c r="P118" s="33"/>
      <c r="Q118" s="33"/>
      <c r="R118" s="33"/>
      <c r="S118" s="33"/>
      <c r="T118" s="33"/>
      <c r="U118" s="33"/>
      <c r="V118" s="33"/>
      <c r="W118" s="33"/>
      <c r="X118" s="33"/>
      <c r="Y118" s="33"/>
      <c r="Z118" s="33"/>
    </row>
    <row r="119" ht="33.75" customHeight="1">
      <c r="A119" s="57" t="s">
        <v>915</v>
      </c>
      <c r="B119" s="57" t="s">
        <v>917</v>
      </c>
      <c r="C119" s="57" t="s">
        <v>547</v>
      </c>
      <c r="D119" s="58" t="s">
        <v>920</v>
      </c>
      <c r="E119" s="57" t="s">
        <v>549</v>
      </c>
      <c r="F119" s="57" t="s">
        <v>550</v>
      </c>
      <c r="G119" s="57" t="s">
        <v>551</v>
      </c>
      <c r="H119" s="57" t="s">
        <v>552</v>
      </c>
      <c r="I119" s="59"/>
      <c r="J119" s="59"/>
      <c r="K119" s="62" t="s">
        <v>227</v>
      </c>
      <c r="L119" s="57" t="s">
        <v>275</v>
      </c>
      <c r="M119" s="61">
        <v>46280.0</v>
      </c>
      <c r="N119" s="57" t="s">
        <v>276</v>
      </c>
      <c r="O119" s="33"/>
      <c r="P119" s="33"/>
      <c r="Q119" s="33"/>
      <c r="R119" s="33"/>
      <c r="S119" s="33"/>
      <c r="T119" s="33"/>
      <c r="U119" s="33"/>
      <c r="V119" s="33"/>
      <c r="W119" s="33"/>
      <c r="X119" s="33"/>
      <c r="Y119" s="33"/>
      <c r="Z119" s="33"/>
    </row>
    <row r="120" ht="33.75" customHeight="1">
      <c r="A120" s="57" t="s">
        <v>921</v>
      </c>
      <c r="B120" s="57" t="s">
        <v>922</v>
      </c>
      <c r="C120" s="57" t="s">
        <v>555</v>
      </c>
      <c r="D120" s="58" t="s">
        <v>755</v>
      </c>
      <c r="E120" s="57" t="s">
        <v>556</v>
      </c>
      <c r="F120" s="57" t="s">
        <v>557</v>
      </c>
      <c r="G120" s="57" t="s">
        <v>558</v>
      </c>
      <c r="H120" s="57" t="s">
        <v>559</v>
      </c>
      <c r="I120" s="59"/>
      <c r="J120" s="59"/>
      <c r="K120" s="62" t="s">
        <v>227</v>
      </c>
      <c r="L120" s="57" t="s">
        <v>275</v>
      </c>
      <c r="M120" s="61">
        <v>46280.0</v>
      </c>
      <c r="N120" s="57" t="s">
        <v>276</v>
      </c>
      <c r="O120" s="33"/>
      <c r="P120" s="33"/>
      <c r="Q120" s="33"/>
      <c r="R120" s="33"/>
      <c r="S120" s="33"/>
      <c r="T120" s="33"/>
      <c r="U120" s="33"/>
      <c r="V120" s="33"/>
      <c r="W120" s="33"/>
      <c r="X120" s="33"/>
      <c r="Y120" s="33"/>
      <c r="Z120" s="33"/>
    </row>
    <row r="121" ht="33.75" customHeight="1">
      <c r="A121" s="57" t="s">
        <v>924</v>
      </c>
      <c r="B121" s="57" t="s">
        <v>925</v>
      </c>
      <c r="C121" s="57" t="s">
        <v>562</v>
      </c>
      <c r="D121" s="58" t="s">
        <v>927</v>
      </c>
      <c r="E121" s="57" t="s">
        <v>564</v>
      </c>
      <c r="F121" s="57" t="s">
        <v>565</v>
      </c>
      <c r="G121" s="57" t="s">
        <v>566</v>
      </c>
      <c r="H121" s="57" t="s">
        <v>567</v>
      </c>
      <c r="I121" s="59"/>
      <c r="J121" s="59"/>
      <c r="K121" s="60" t="s">
        <v>225</v>
      </c>
      <c r="L121" s="57" t="s">
        <v>275</v>
      </c>
      <c r="M121" s="61">
        <v>46280.0</v>
      </c>
      <c r="N121" s="57" t="s">
        <v>276</v>
      </c>
      <c r="O121" s="33"/>
      <c r="P121" s="33"/>
      <c r="Q121" s="33"/>
      <c r="R121" s="33"/>
      <c r="S121" s="33"/>
      <c r="T121" s="33"/>
      <c r="U121" s="33"/>
      <c r="V121" s="33"/>
      <c r="W121" s="33"/>
      <c r="X121" s="33"/>
      <c r="Y121" s="33"/>
      <c r="Z121" s="33"/>
    </row>
    <row r="122" ht="33.75" customHeight="1">
      <c r="A122" s="57" t="s">
        <v>928</v>
      </c>
      <c r="B122" s="57" t="s">
        <v>930</v>
      </c>
      <c r="C122" s="57" t="s">
        <v>570</v>
      </c>
      <c r="D122" s="58" t="s">
        <v>933</v>
      </c>
      <c r="E122" s="57" t="s">
        <v>572</v>
      </c>
      <c r="F122" s="57" t="s">
        <v>573</v>
      </c>
      <c r="G122" s="57" t="s">
        <v>574</v>
      </c>
      <c r="H122" s="57" t="s">
        <v>575</v>
      </c>
      <c r="I122" s="59"/>
      <c r="J122" s="59"/>
      <c r="K122" s="60" t="s">
        <v>225</v>
      </c>
      <c r="L122" s="57" t="s">
        <v>275</v>
      </c>
      <c r="M122" s="61">
        <v>46280.0</v>
      </c>
      <c r="N122" s="57" t="s">
        <v>337</v>
      </c>
      <c r="O122" s="33"/>
      <c r="P122" s="33"/>
      <c r="Q122" s="33"/>
      <c r="R122" s="33"/>
      <c r="S122" s="33"/>
      <c r="T122" s="33"/>
      <c r="U122" s="33"/>
      <c r="V122" s="33"/>
      <c r="W122" s="33"/>
      <c r="X122" s="33"/>
      <c r="Y122" s="33"/>
      <c r="Z122" s="33"/>
    </row>
    <row r="123" ht="33.75" customHeight="1">
      <c r="A123" s="57" t="s">
        <v>937</v>
      </c>
      <c r="B123" s="57" t="s">
        <v>938</v>
      </c>
      <c r="C123" s="57" t="s">
        <v>578</v>
      </c>
      <c r="D123" s="58" t="s">
        <v>838</v>
      </c>
      <c r="E123" s="57" t="s">
        <v>579</v>
      </c>
      <c r="F123" s="57" t="s">
        <v>580</v>
      </c>
      <c r="G123" s="57" t="s">
        <v>581</v>
      </c>
      <c r="H123" s="57" t="s">
        <v>582</v>
      </c>
      <c r="I123" s="59"/>
      <c r="J123" s="59"/>
      <c r="K123" s="62" t="s">
        <v>227</v>
      </c>
      <c r="L123" s="57" t="s">
        <v>275</v>
      </c>
      <c r="M123" s="61">
        <v>46280.0</v>
      </c>
      <c r="N123" s="57" t="s">
        <v>276</v>
      </c>
      <c r="O123" s="33"/>
      <c r="P123" s="33"/>
      <c r="Q123" s="33"/>
      <c r="R123" s="33"/>
      <c r="S123" s="33"/>
      <c r="T123" s="33"/>
      <c r="U123" s="33"/>
      <c r="V123" s="33"/>
      <c r="W123" s="33"/>
      <c r="X123" s="33"/>
      <c r="Y123" s="33"/>
      <c r="Z123" s="33"/>
    </row>
    <row r="124" ht="33.75" customHeight="1">
      <c r="A124" s="57" t="s">
        <v>944</v>
      </c>
      <c r="B124" s="57" t="s">
        <v>945</v>
      </c>
      <c r="C124" s="57" t="s">
        <v>585</v>
      </c>
      <c r="D124" s="58" t="s">
        <v>946</v>
      </c>
      <c r="E124" s="57" t="s">
        <v>587</v>
      </c>
      <c r="F124" s="57" t="s">
        <v>947</v>
      </c>
      <c r="G124" s="57" t="s">
        <v>948</v>
      </c>
      <c r="H124" s="57" t="s">
        <v>590</v>
      </c>
      <c r="I124" s="59"/>
      <c r="J124" s="59"/>
      <c r="K124" s="63" t="s">
        <v>229</v>
      </c>
      <c r="L124" s="57" t="s">
        <v>275</v>
      </c>
      <c r="M124" s="61">
        <v>46280.0</v>
      </c>
      <c r="N124" s="57" t="s">
        <v>345</v>
      </c>
      <c r="O124" s="33"/>
      <c r="P124" s="33"/>
      <c r="Q124" s="33"/>
      <c r="R124" s="33"/>
      <c r="S124" s="33"/>
      <c r="T124" s="33"/>
      <c r="U124" s="33"/>
      <c r="V124" s="33"/>
      <c r="W124" s="33"/>
      <c r="X124" s="33"/>
      <c r="Y124" s="33"/>
      <c r="Z124" s="33"/>
    </row>
    <row r="125" ht="33.75" customHeight="1">
      <c r="A125" s="57" t="s">
        <v>951</v>
      </c>
      <c r="B125" s="57" t="s">
        <v>952</v>
      </c>
      <c r="C125" s="57" t="s">
        <v>593</v>
      </c>
      <c r="D125" s="58" t="s">
        <v>755</v>
      </c>
      <c r="E125" s="57" t="s">
        <v>594</v>
      </c>
      <c r="F125" s="57" t="s">
        <v>955</v>
      </c>
      <c r="G125" s="57" t="s">
        <v>956</v>
      </c>
      <c r="H125" s="57" t="s">
        <v>957</v>
      </c>
      <c r="I125" s="59"/>
      <c r="J125" s="59"/>
      <c r="K125" s="62" t="s">
        <v>227</v>
      </c>
      <c r="L125" s="57" t="s">
        <v>275</v>
      </c>
      <c r="M125" s="61">
        <v>46280.0</v>
      </c>
      <c r="N125" s="57" t="s">
        <v>276</v>
      </c>
      <c r="O125" s="33"/>
      <c r="P125" s="33"/>
      <c r="Q125" s="33"/>
      <c r="R125" s="33"/>
      <c r="S125" s="33"/>
      <c r="T125" s="33"/>
      <c r="U125" s="33"/>
      <c r="V125" s="33"/>
      <c r="W125" s="33"/>
      <c r="X125" s="33"/>
      <c r="Y125" s="33"/>
      <c r="Z125" s="33"/>
    </row>
    <row r="126" ht="33.75" customHeight="1">
      <c r="A126" s="56" t="s">
        <v>959</v>
      </c>
      <c r="B126" s="2"/>
      <c r="C126" s="2"/>
      <c r="D126" s="2"/>
      <c r="E126" s="2"/>
      <c r="F126" s="2"/>
      <c r="G126" s="2"/>
      <c r="H126" s="2"/>
      <c r="I126" s="2"/>
      <c r="J126" s="2"/>
      <c r="K126" s="2"/>
      <c r="L126" s="2"/>
      <c r="M126" s="2"/>
      <c r="N126" s="3"/>
      <c r="O126" s="33"/>
      <c r="P126" s="33"/>
      <c r="Q126" s="33"/>
      <c r="R126" s="33"/>
      <c r="S126" s="33"/>
      <c r="T126" s="33"/>
      <c r="U126" s="33"/>
      <c r="V126" s="33"/>
      <c r="W126" s="33"/>
      <c r="X126" s="33"/>
      <c r="Y126" s="33"/>
      <c r="Z126" s="33"/>
    </row>
    <row r="127" ht="33.75" customHeight="1">
      <c r="A127" s="57" t="s">
        <v>961</v>
      </c>
      <c r="B127" s="57" t="s">
        <v>962</v>
      </c>
      <c r="C127" s="57" t="s">
        <v>600</v>
      </c>
      <c r="D127" s="58" t="s">
        <v>755</v>
      </c>
      <c r="E127" s="57" t="s">
        <v>601</v>
      </c>
      <c r="F127" s="57" t="s">
        <v>602</v>
      </c>
      <c r="G127" s="57" t="s">
        <v>603</v>
      </c>
      <c r="H127" s="57" t="s">
        <v>604</v>
      </c>
      <c r="I127" s="59"/>
      <c r="J127" s="59"/>
      <c r="K127" s="60" t="s">
        <v>225</v>
      </c>
      <c r="L127" s="57" t="s">
        <v>275</v>
      </c>
      <c r="M127" s="61">
        <v>46280.0</v>
      </c>
      <c r="N127" s="57" t="s">
        <v>276</v>
      </c>
      <c r="O127" s="33"/>
      <c r="P127" s="33"/>
      <c r="Q127" s="33"/>
      <c r="R127" s="33"/>
      <c r="S127" s="33"/>
      <c r="T127" s="33"/>
      <c r="U127" s="33"/>
      <c r="V127" s="33"/>
      <c r="W127" s="33"/>
      <c r="X127" s="33"/>
      <c r="Y127" s="33"/>
      <c r="Z127" s="33"/>
    </row>
    <row r="128" ht="33.75" customHeight="1">
      <c r="A128" s="57" t="s">
        <v>967</v>
      </c>
      <c r="B128" s="57" t="s">
        <v>968</v>
      </c>
      <c r="C128" s="57" t="s">
        <v>607</v>
      </c>
      <c r="D128" s="58" t="s">
        <v>755</v>
      </c>
      <c r="E128" s="57" t="s">
        <v>608</v>
      </c>
      <c r="F128" s="57" t="s">
        <v>470</v>
      </c>
      <c r="G128" s="57" t="s">
        <v>609</v>
      </c>
      <c r="H128" s="57" t="s">
        <v>610</v>
      </c>
      <c r="I128" s="59"/>
      <c r="J128" s="59"/>
      <c r="K128" s="62" t="s">
        <v>227</v>
      </c>
      <c r="L128" s="57" t="s">
        <v>275</v>
      </c>
      <c r="M128" s="61">
        <v>46280.0</v>
      </c>
      <c r="N128" s="57" t="s">
        <v>276</v>
      </c>
      <c r="O128" s="33"/>
      <c r="P128" s="33"/>
      <c r="Q128" s="33"/>
      <c r="R128" s="33"/>
      <c r="S128" s="33"/>
      <c r="T128" s="33"/>
      <c r="U128" s="33"/>
      <c r="V128" s="33"/>
      <c r="W128" s="33"/>
      <c r="X128" s="33"/>
      <c r="Y128" s="33"/>
      <c r="Z128" s="33"/>
    </row>
    <row r="129" ht="33.75" customHeight="1">
      <c r="A129" s="57" t="s">
        <v>974</v>
      </c>
      <c r="B129" s="57" t="s">
        <v>975</v>
      </c>
      <c r="C129" s="57" t="s">
        <v>613</v>
      </c>
      <c r="D129" s="58" t="s">
        <v>755</v>
      </c>
      <c r="E129" s="57" t="s">
        <v>614</v>
      </c>
      <c r="F129" s="57" t="s">
        <v>615</v>
      </c>
      <c r="G129" s="57" t="s">
        <v>616</v>
      </c>
      <c r="H129" s="57" t="s">
        <v>617</v>
      </c>
      <c r="I129" s="59"/>
      <c r="J129" s="59"/>
      <c r="K129" s="60" t="s">
        <v>225</v>
      </c>
      <c r="L129" s="57" t="s">
        <v>275</v>
      </c>
      <c r="M129" s="61">
        <v>46280.0</v>
      </c>
      <c r="N129" s="57" t="s">
        <v>337</v>
      </c>
      <c r="O129" s="33"/>
      <c r="P129" s="33"/>
      <c r="Q129" s="33"/>
      <c r="R129" s="33"/>
      <c r="S129" s="33"/>
      <c r="T129" s="33"/>
      <c r="U129" s="33"/>
      <c r="V129" s="33"/>
      <c r="W129" s="33"/>
      <c r="X129" s="33"/>
      <c r="Y129" s="33"/>
      <c r="Z129" s="33"/>
    </row>
    <row r="130" ht="33.75" customHeight="1">
      <c r="A130" s="57" t="s">
        <v>981</v>
      </c>
      <c r="B130" s="57" t="s">
        <v>982</v>
      </c>
      <c r="C130" s="57" t="s">
        <v>620</v>
      </c>
      <c r="D130" s="58" t="s">
        <v>755</v>
      </c>
      <c r="E130" s="57" t="s">
        <v>621</v>
      </c>
      <c r="F130" s="57" t="s">
        <v>622</v>
      </c>
      <c r="G130" s="57" t="s">
        <v>623</v>
      </c>
      <c r="H130" s="57" t="s">
        <v>617</v>
      </c>
      <c r="I130" s="59"/>
      <c r="J130" s="59"/>
      <c r="K130" s="60" t="s">
        <v>225</v>
      </c>
      <c r="L130" s="57" t="s">
        <v>275</v>
      </c>
      <c r="M130" s="61">
        <v>46280.0</v>
      </c>
      <c r="N130" s="57" t="s">
        <v>337</v>
      </c>
      <c r="O130" s="33"/>
      <c r="P130" s="33"/>
      <c r="Q130" s="33"/>
      <c r="R130" s="33"/>
      <c r="S130" s="33"/>
      <c r="T130" s="33"/>
      <c r="U130" s="33"/>
      <c r="V130" s="33"/>
      <c r="W130" s="33"/>
      <c r="X130" s="33"/>
      <c r="Y130" s="33"/>
      <c r="Z130" s="33"/>
    </row>
    <row r="131" ht="33.75" customHeight="1">
      <c r="A131" s="57" t="s">
        <v>987</v>
      </c>
      <c r="B131" s="57" t="s">
        <v>989</v>
      </c>
      <c r="C131" s="57" t="s">
        <v>626</v>
      </c>
      <c r="D131" s="58" t="s">
        <v>755</v>
      </c>
      <c r="E131" s="57" t="s">
        <v>627</v>
      </c>
      <c r="F131" s="57" t="s">
        <v>628</v>
      </c>
      <c r="G131" s="57" t="s">
        <v>629</v>
      </c>
      <c r="H131" s="57" t="s">
        <v>630</v>
      </c>
      <c r="I131" s="59"/>
      <c r="J131" s="59"/>
      <c r="K131" s="62" t="s">
        <v>227</v>
      </c>
      <c r="L131" s="57" t="s">
        <v>275</v>
      </c>
      <c r="M131" s="61">
        <v>46280.0</v>
      </c>
      <c r="N131" s="57" t="s">
        <v>276</v>
      </c>
      <c r="O131" s="33"/>
      <c r="P131" s="33"/>
      <c r="Q131" s="33"/>
      <c r="R131" s="33"/>
      <c r="S131" s="33"/>
      <c r="T131" s="33"/>
      <c r="U131" s="33"/>
      <c r="V131" s="33"/>
      <c r="W131" s="33"/>
      <c r="X131" s="33"/>
      <c r="Y131" s="33"/>
      <c r="Z131" s="33"/>
    </row>
    <row r="132" ht="33.75" customHeight="1">
      <c r="A132" s="57" t="s">
        <v>994</v>
      </c>
      <c r="B132" s="57" t="s">
        <v>995</v>
      </c>
      <c r="C132" s="57" t="s">
        <v>633</v>
      </c>
      <c r="D132" s="58" t="s">
        <v>755</v>
      </c>
      <c r="E132" s="57" t="s">
        <v>634</v>
      </c>
      <c r="F132" s="57" t="s">
        <v>1224</v>
      </c>
      <c r="G132" s="57" t="s">
        <v>1225</v>
      </c>
      <c r="H132" s="57" t="s">
        <v>1226</v>
      </c>
      <c r="I132" s="59"/>
      <c r="J132" s="59" t="s">
        <v>234</v>
      </c>
      <c r="K132" s="62" t="s">
        <v>227</v>
      </c>
      <c r="L132" s="57" t="s">
        <v>275</v>
      </c>
      <c r="M132" s="61">
        <v>46280.0</v>
      </c>
      <c r="N132" s="57" t="s">
        <v>427</v>
      </c>
      <c r="O132" s="33"/>
      <c r="P132" s="33"/>
      <c r="Q132" s="33"/>
      <c r="R132" s="33"/>
      <c r="S132" s="33"/>
      <c r="T132" s="33"/>
      <c r="U132" s="33"/>
      <c r="V132" s="33"/>
      <c r="W132" s="33"/>
      <c r="X132" s="33"/>
      <c r="Y132" s="33"/>
      <c r="Z132" s="33"/>
    </row>
    <row r="133" ht="33.75" customHeight="1">
      <c r="A133" s="57" t="s">
        <v>998</v>
      </c>
      <c r="B133" s="57" t="s">
        <v>999</v>
      </c>
      <c r="C133" s="57" t="s">
        <v>640</v>
      </c>
      <c r="D133" s="58" t="s">
        <v>755</v>
      </c>
      <c r="E133" s="57" t="s">
        <v>641</v>
      </c>
      <c r="F133" s="57" t="s">
        <v>642</v>
      </c>
      <c r="G133" s="57" t="s">
        <v>643</v>
      </c>
      <c r="H133" s="57" t="s">
        <v>644</v>
      </c>
      <c r="I133" s="59"/>
      <c r="J133" s="59"/>
      <c r="K133" s="63" t="s">
        <v>229</v>
      </c>
      <c r="L133" s="57" t="s">
        <v>275</v>
      </c>
      <c r="M133" s="61">
        <v>46280.0</v>
      </c>
      <c r="N133" s="57" t="s">
        <v>427</v>
      </c>
      <c r="O133" s="33"/>
      <c r="P133" s="33"/>
      <c r="Q133" s="33"/>
      <c r="R133" s="33"/>
      <c r="S133" s="33"/>
      <c r="T133" s="33"/>
      <c r="U133" s="33"/>
      <c r="V133" s="33"/>
      <c r="W133" s="33"/>
      <c r="X133" s="33"/>
      <c r="Y133" s="33"/>
      <c r="Z133" s="33"/>
    </row>
    <row r="134" ht="33.75" customHeight="1">
      <c r="A134" s="57" t="s">
        <v>1003</v>
      </c>
      <c r="B134" s="57" t="s">
        <v>1004</v>
      </c>
      <c r="C134" s="57" t="s">
        <v>647</v>
      </c>
      <c r="D134" s="58" t="s">
        <v>1006</v>
      </c>
      <c r="E134" s="57" t="s">
        <v>649</v>
      </c>
      <c r="F134" s="57" t="s">
        <v>650</v>
      </c>
      <c r="G134" s="57" t="s">
        <v>651</v>
      </c>
      <c r="H134" s="57" t="s">
        <v>652</v>
      </c>
      <c r="I134" s="59"/>
      <c r="J134" s="59"/>
      <c r="K134" s="60" t="s">
        <v>225</v>
      </c>
      <c r="L134" s="57" t="s">
        <v>275</v>
      </c>
      <c r="M134" s="61">
        <v>46280.0</v>
      </c>
      <c r="N134" s="57" t="s">
        <v>345</v>
      </c>
      <c r="O134" s="33"/>
      <c r="P134" s="33"/>
      <c r="Q134" s="33"/>
      <c r="R134" s="33"/>
      <c r="S134" s="33"/>
      <c r="T134" s="33"/>
      <c r="U134" s="33"/>
      <c r="V134" s="33"/>
      <c r="W134" s="33"/>
      <c r="X134" s="33"/>
      <c r="Y134" s="33"/>
      <c r="Z134" s="33"/>
    </row>
    <row r="135" ht="33.75" customHeight="1">
      <c r="A135" s="56" t="s">
        <v>1009</v>
      </c>
      <c r="B135" s="2"/>
      <c r="C135" s="2"/>
      <c r="D135" s="2"/>
      <c r="E135" s="2"/>
      <c r="F135" s="2"/>
      <c r="G135" s="2"/>
      <c r="H135" s="2"/>
      <c r="I135" s="2"/>
      <c r="J135" s="2"/>
      <c r="K135" s="2"/>
      <c r="L135" s="2"/>
      <c r="M135" s="2"/>
      <c r="N135" s="3"/>
      <c r="O135" s="33"/>
      <c r="P135" s="33"/>
      <c r="Q135" s="33"/>
      <c r="R135" s="33"/>
      <c r="S135" s="33"/>
      <c r="T135" s="33"/>
      <c r="U135" s="33"/>
      <c r="V135" s="33"/>
      <c r="W135" s="33"/>
      <c r="X135" s="33"/>
      <c r="Y135" s="33"/>
      <c r="Z135" s="33"/>
    </row>
    <row r="136" ht="33.75" customHeight="1">
      <c r="A136" s="57" t="s">
        <v>1013</v>
      </c>
      <c r="B136" s="57" t="s">
        <v>1014</v>
      </c>
      <c r="C136" s="57" t="s">
        <v>1015</v>
      </c>
      <c r="D136" s="58" t="s">
        <v>1016</v>
      </c>
      <c r="E136" s="57" t="s">
        <v>1017</v>
      </c>
      <c r="F136" s="57" t="s">
        <v>1018</v>
      </c>
      <c r="G136" s="57" t="s">
        <v>1019</v>
      </c>
      <c r="H136" s="57" t="s">
        <v>1020</v>
      </c>
      <c r="I136" s="59"/>
      <c r="J136" s="59"/>
      <c r="K136" s="60" t="s">
        <v>225</v>
      </c>
      <c r="L136" s="57" t="s">
        <v>275</v>
      </c>
      <c r="M136" s="61">
        <v>46280.0</v>
      </c>
      <c r="N136" s="57" t="s">
        <v>276</v>
      </c>
      <c r="O136" s="33"/>
      <c r="P136" s="33"/>
      <c r="Q136" s="33"/>
      <c r="R136" s="33"/>
      <c r="S136" s="33"/>
      <c r="T136" s="33"/>
      <c r="U136" s="33"/>
      <c r="V136" s="33"/>
      <c r="W136" s="33"/>
      <c r="X136" s="33"/>
      <c r="Y136" s="33"/>
      <c r="Z136" s="33"/>
    </row>
    <row r="137" ht="33.75" customHeight="1">
      <c r="A137" s="57" t="s">
        <v>1025</v>
      </c>
      <c r="B137" s="57" t="s">
        <v>1026</v>
      </c>
      <c r="C137" s="57" t="s">
        <v>1027</v>
      </c>
      <c r="D137" s="58" t="s">
        <v>706</v>
      </c>
      <c r="E137" s="57" t="s">
        <v>1028</v>
      </c>
      <c r="F137" s="57" t="s">
        <v>359</v>
      </c>
      <c r="G137" s="57" t="s">
        <v>1029</v>
      </c>
      <c r="H137" s="57" t="s">
        <v>1030</v>
      </c>
      <c r="I137" s="59"/>
      <c r="J137" s="59"/>
      <c r="K137" s="62" t="s">
        <v>227</v>
      </c>
      <c r="L137" s="57" t="s">
        <v>275</v>
      </c>
      <c r="M137" s="61">
        <v>46280.0</v>
      </c>
      <c r="N137" s="57" t="s">
        <v>337</v>
      </c>
      <c r="O137" s="33"/>
      <c r="P137" s="33"/>
      <c r="Q137" s="33"/>
      <c r="R137" s="33"/>
      <c r="S137" s="33"/>
      <c r="T137" s="33"/>
      <c r="U137" s="33"/>
      <c r="V137" s="33"/>
      <c r="W137" s="33"/>
      <c r="X137" s="33"/>
      <c r="Y137" s="33"/>
      <c r="Z137" s="33"/>
    </row>
    <row r="138" ht="33.75" customHeight="1">
      <c r="A138" s="57" t="s">
        <v>1035</v>
      </c>
      <c r="B138" s="57" t="s">
        <v>1036</v>
      </c>
      <c r="C138" s="57" t="s">
        <v>1037</v>
      </c>
      <c r="D138" s="58" t="s">
        <v>1038</v>
      </c>
      <c r="E138" s="57" t="s">
        <v>1039</v>
      </c>
      <c r="F138" s="57" t="s">
        <v>1040</v>
      </c>
      <c r="G138" s="57" t="s">
        <v>1041</v>
      </c>
      <c r="H138" s="57" t="s">
        <v>1042</v>
      </c>
      <c r="I138" s="59"/>
      <c r="J138" s="59"/>
      <c r="K138" s="62" t="s">
        <v>227</v>
      </c>
      <c r="L138" s="57" t="s">
        <v>275</v>
      </c>
      <c r="M138" s="61">
        <v>46280.0</v>
      </c>
      <c r="N138" s="57" t="s">
        <v>427</v>
      </c>
      <c r="O138" s="33"/>
      <c r="P138" s="33"/>
      <c r="Q138" s="33"/>
      <c r="R138" s="33"/>
      <c r="S138" s="33"/>
      <c r="T138" s="33"/>
      <c r="U138" s="33"/>
      <c r="V138" s="33"/>
      <c r="W138" s="33"/>
      <c r="X138" s="33"/>
      <c r="Y138" s="33"/>
      <c r="Z138" s="33"/>
    </row>
    <row r="139" ht="33.75" customHeight="1">
      <c r="A139" s="57" t="s">
        <v>1047</v>
      </c>
      <c r="B139" s="57" t="s">
        <v>1048</v>
      </c>
      <c r="C139" s="57" t="s">
        <v>672</v>
      </c>
      <c r="D139" s="58" t="s">
        <v>1049</v>
      </c>
      <c r="E139" s="57" t="s">
        <v>674</v>
      </c>
      <c r="F139" s="57" t="s">
        <v>675</v>
      </c>
      <c r="G139" s="57" t="s">
        <v>676</v>
      </c>
      <c r="H139" s="57" t="s">
        <v>677</v>
      </c>
      <c r="I139" s="59"/>
      <c r="J139" s="59"/>
      <c r="K139" s="60" t="s">
        <v>225</v>
      </c>
      <c r="L139" s="57" t="s">
        <v>275</v>
      </c>
      <c r="M139" s="61">
        <v>46280.0</v>
      </c>
      <c r="N139" s="57" t="s">
        <v>337</v>
      </c>
      <c r="O139" s="33"/>
      <c r="P139" s="33"/>
      <c r="Q139" s="33"/>
      <c r="R139" s="33"/>
      <c r="S139" s="33"/>
      <c r="T139" s="33"/>
      <c r="U139" s="33"/>
      <c r="V139" s="33"/>
      <c r="W139" s="33"/>
      <c r="X139" s="33"/>
      <c r="Y139" s="33"/>
      <c r="Z139" s="33"/>
    </row>
    <row r="140" ht="33.75" customHeight="1">
      <c r="A140" s="57" t="s">
        <v>1052</v>
      </c>
      <c r="B140" s="57" t="s">
        <v>1053</v>
      </c>
      <c r="C140" s="57" t="s">
        <v>680</v>
      </c>
      <c r="D140" s="58" t="s">
        <v>1054</v>
      </c>
      <c r="E140" s="57" t="s">
        <v>682</v>
      </c>
      <c r="F140" s="57" t="s">
        <v>683</v>
      </c>
      <c r="G140" s="57" t="s">
        <v>684</v>
      </c>
      <c r="H140" s="57" t="s">
        <v>685</v>
      </c>
      <c r="I140" s="59"/>
      <c r="J140" s="59"/>
      <c r="K140" s="60" t="s">
        <v>225</v>
      </c>
      <c r="L140" s="57" t="s">
        <v>275</v>
      </c>
      <c r="M140" s="61">
        <v>46280.0</v>
      </c>
      <c r="N140" s="57" t="s">
        <v>337</v>
      </c>
      <c r="O140" s="33"/>
      <c r="P140" s="33"/>
      <c r="Q140" s="33"/>
      <c r="R140" s="33"/>
      <c r="S140" s="33"/>
      <c r="T140" s="33"/>
      <c r="U140" s="33"/>
      <c r="V140" s="33"/>
      <c r="W140" s="33"/>
      <c r="X140" s="33"/>
      <c r="Y140" s="33"/>
      <c r="Z140" s="33"/>
    </row>
    <row r="141" ht="33.75" customHeight="1">
      <c r="A141" s="57" t="s">
        <v>1061</v>
      </c>
      <c r="B141" s="57" t="s">
        <v>1062</v>
      </c>
      <c r="C141" s="57" t="s">
        <v>688</v>
      </c>
      <c r="D141" s="58" t="s">
        <v>1063</v>
      </c>
      <c r="E141" s="57" t="s">
        <v>690</v>
      </c>
      <c r="F141" s="57" t="s">
        <v>691</v>
      </c>
      <c r="G141" s="57" t="s">
        <v>692</v>
      </c>
      <c r="H141" s="57" t="s">
        <v>693</v>
      </c>
      <c r="I141" s="59"/>
      <c r="J141" s="59"/>
      <c r="K141" s="62" t="s">
        <v>227</v>
      </c>
      <c r="L141" s="57" t="s">
        <v>275</v>
      </c>
      <c r="M141" s="61">
        <v>46280.0</v>
      </c>
      <c r="N141" s="57" t="s">
        <v>276</v>
      </c>
      <c r="O141" s="33"/>
      <c r="P141" s="33"/>
      <c r="Q141" s="33"/>
      <c r="R141" s="33"/>
      <c r="S141" s="33"/>
      <c r="T141" s="33"/>
      <c r="U141" s="33"/>
      <c r="V141" s="33"/>
      <c r="W141" s="33"/>
      <c r="X141" s="33"/>
      <c r="Y141" s="33"/>
      <c r="Z141" s="33"/>
    </row>
    <row r="142" ht="33.75" customHeight="1">
      <c r="A142" s="115" t="s">
        <v>1071</v>
      </c>
      <c r="B142" s="2"/>
      <c r="C142" s="2"/>
      <c r="D142" s="2"/>
      <c r="E142" s="2"/>
      <c r="F142" s="2"/>
      <c r="G142" s="2"/>
      <c r="H142" s="2"/>
      <c r="I142" s="2"/>
      <c r="J142" s="2"/>
      <c r="K142" s="2"/>
      <c r="L142" s="2"/>
      <c r="M142" s="2"/>
      <c r="N142" s="3"/>
      <c r="O142" s="33"/>
      <c r="P142" s="33"/>
      <c r="Q142" s="33"/>
      <c r="R142" s="33"/>
      <c r="S142" s="33"/>
      <c r="T142" s="33"/>
      <c r="U142" s="33"/>
      <c r="V142" s="33"/>
      <c r="W142" s="33"/>
      <c r="X142" s="33"/>
      <c r="Y142" s="33"/>
      <c r="Z142" s="33"/>
    </row>
    <row r="143" ht="33.75" customHeight="1">
      <c r="A143" s="56" t="s">
        <v>1072</v>
      </c>
      <c r="B143" s="2"/>
      <c r="C143" s="2"/>
      <c r="D143" s="2"/>
      <c r="E143" s="2"/>
      <c r="F143" s="2"/>
      <c r="G143" s="2"/>
      <c r="H143" s="2"/>
      <c r="I143" s="2"/>
      <c r="J143" s="2"/>
      <c r="K143" s="2"/>
      <c r="L143" s="2"/>
      <c r="M143" s="2"/>
      <c r="N143" s="3"/>
      <c r="O143" s="33"/>
      <c r="P143" s="33"/>
      <c r="Q143" s="33"/>
      <c r="R143" s="33"/>
      <c r="S143" s="33"/>
      <c r="T143" s="33"/>
      <c r="U143" s="33"/>
      <c r="V143" s="33"/>
      <c r="W143" s="33"/>
      <c r="X143" s="33"/>
      <c r="Y143" s="33"/>
      <c r="Z143" s="33"/>
    </row>
    <row r="144" ht="33.75" customHeight="1">
      <c r="A144" s="57" t="s">
        <v>180</v>
      </c>
      <c r="B144" s="57" t="s">
        <v>1073</v>
      </c>
      <c r="C144" s="57" t="s">
        <v>1074</v>
      </c>
      <c r="D144" s="58" t="s">
        <v>1075</v>
      </c>
      <c r="E144" s="57" t="s">
        <v>1076</v>
      </c>
      <c r="F144" s="57" t="s">
        <v>1077</v>
      </c>
      <c r="G144" s="57" t="s">
        <v>1078</v>
      </c>
      <c r="H144" s="57" t="s">
        <v>1079</v>
      </c>
      <c r="I144" s="59"/>
      <c r="J144" s="59"/>
      <c r="K144" s="63" t="s">
        <v>229</v>
      </c>
      <c r="L144" s="57" t="s">
        <v>275</v>
      </c>
      <c r="M144" s="61">
        <v>46280.0</v>
      </c>
      <c r="N144" s="57" t="s">
        <v>314</v>
      </c>
      <c r="O144" s="33"/>
      <c r="P144" s="33"/>
      <c r="Q144" s="33"/>
      <c r="R144" s="33"/>
      <c r="S144" s="33"/>
      <c r="T144" s="33"/>
      <c r="U144" s="33"/>
      <c r="V144" s="33"/>
      <c r="W144" s="33"/>
      <c r="X144" s="33"/>
      <c r="Y144" s="33"/>
      <c r="Z144" s="33"/>
    </row>
    <row r="145" ht="33.75" customHeight="1">
      <c r="A145" s="57" t="s">
        <v>1084</v>
      </c>
      <c r="B145" s="57" t="s">
        <v>1085</v>
      </c>
      <c r="C145" s="57" t="s">
        <v>1087</v>
      </c>
      <c r="D145" s="58" t="s">
        <v>1075</v>
      </c>
      <c r="E145" s="57" t="s">
        <v>1089</v>
      </c>
      <c r="F145" s="57" t="s">
        <v>1090</v>
      </c>
      <c r="G145" s="57" t="s">
        <v>1091</v>
      </c>
      <c r="H145" s="57" t="s">
        <v>1092</v>
      </c>
      <c r="I145" s="59"/>
      <c r="J145" s="59"/>
      <c r="K145" s="62" t="s">
        <v>227</v>
      </c>
      <c r="L145" s="57" t="s">
        <v>275</v>
      </c>
      <c r="M145" s="61">
        <v>46280.0</v>
      </c>
      <c r="N145" s="57" t="s">
        <v>276</v>
      </c>
      <c r="O145" s="33"/>
      <c r="P145" s="33"/>
      <c r="Q145" s="33"/>
      <c r="R145" s="33"/>
      <c r="S145" s="33"/>
      <c r="T145" s="33"/>
      <c r="U145" s="33"/>
      <c r="V145" s="33"/>
      <c r="W145" s="33"/>
      <c r="X145" s="33"/>
      <c r="Y145" s="33"/>
      <c r="Z145" s="33"/>
    </row>
    <row r="146" ht="33.75" customHeight="1">
      <c r="A146" s="57" t="s">
        <v>1094</v>
      </c>
      <c r="B146" s="57" t="s">
        <v>1095</v>
      </c>
      <c r="C146" s="57" t="s">
        <v>1096</v>
      </c>
      <c r="D146" s="58" t="s">
        <v>1097</v>
      </c>
      <c r="E146" s="57" t="s">
        <v>1098</v>
      </c>
      <c r="F146" s="57" t="s">
        <v>1099</v>
      </c>
      <c r="G146" s="57" t="s">
        <v>1100</v>
      </c>
      <c r="H146" s="57" t="s">
        <v>1101</v>
      </c>
      <c r="I146" s="59"/>
      <c r="J146" s="59"/>
      <c r="K146" s="60" t="s">
        <v>225</v>
      </c>
      <c r="L146" s="57" t="s">
        <v>275</v>
      </c>
      <c r="M146" s="61">
        <v>46280.0</v>
      </c>
      <c r="N146" s="57" t="s">
        <v>276</v>
      </c>
      <c r="O146" s="33"/>
      <c r="P146" s="33"/>
      <c r="Q146" s="33"/>
      <c r="R146" s="33"/>
      <c r="S146" s="33"/>
      <c r="T146" s="33"/>
      <c r="U146" s="33"/>
      <c r="V146" s="33"/>
      <c r="W146" s="33"/>
      <c r="X146" s="33"/>
      <c r="Y146" s="33"/>
      <c r="Z146" s="33"/>
    </row>
    <row r="147" ht="33.75" customHeight="1">
      <c r="A147" s="56" t="s">
        <v>1102</v>
      </c>
      <c r="B147" s="2"/>
      <c r="C147" s="2"/>
      <c r="D147" s="2"/>
      <c r="E147" s="2"/>
      <c r="F147" s="2"/>
      <c r="G147" s="2"/>
      <c r="H147" s="2"/>
      <c r="I147" s="2"/>
      <c r="J147" s="2"/>
      <c r="K147" s="2"/>
      <c r="L147" s="2"/>
      <c r="M147" s="2"/>
      <c r="N147" s="3"/>
      <c r="O147" s="33"/>
      <c r="P147" s="33"/>
      <c r="Q147" s="33"/>
      <c r="R147" s="33"/>
      <c r="S147" s="33"/>
      <c r="T147" s="33"/>
      <c r="U147" s="33"/>
      <c r="V147" s="33"/>
      <c r="W147" s="33"/>
      <c r="X147" s="33"/>
      <c r="Y147" s="33"/>
      <c r="Z147" s="33"/>
    </row>
    <row r="148" ht="33.75" customHeight="1">
      <c r="A148" s="57" t="s">
        <v>1108</v>
      </c>
      <c r="B148" s="57" t="s">
        <v>1109</v>
      </c>
      <c r="C148" s="57" t="s">
        <v>1110</v>
      </c>
      <c r="D148" s="58" t="s">
        <v>1111</v>
      </c>
      <c r="E148" s="57" t="s">
        <v>1112</v>
      </c>
      <c r="F148" s="57" t="s">
        <v>1113</v>
      </c>
      <c r="G148" s="57" t="s">
        <v>1114</v>
      </c>
      <c r="H148" s="57" t="s">
        <v>1115</v>
      </c>
      <c r="I148" s="59"/>
      <c r="J148" s="59"/>
      <c r="K148" s="60" t="s">
        <v>225</v>
      </c>
      <c r="L148" s="57" t="s">
        <v>275</v>
      </c>
      <c r="M148" s="61">
        <v>46280.0</v>
      </c>
      <c r="N148" s="57" t="s">
        <v>1121</v>
      </c>
      <c r="O148" s="33"/>
      <c r="P148" s="33"/>
      <c r="Q148" s="33"/>
      <c r="R148" s="33"/>
      <c r="S148" s="33"/>
      <c r="T148" s="33"/>
      <c r="U148" s="33"/>
      <c r="V148" s="33"/>
      <c r="W148" s="33"/>
      <c r="X148" s="33"/>
      <c r="Y148" s="33"/>
      <c r="Z148" s="33"/>
    </row>
    <row r="149" ht="33.75" customHeight="1">
      <c r="A149" s="57" t="s">
        <v>185</v>
      </c>
      <c r="B149" s="57" t="s">
        <v>1123</v>
      </c>
      <c r="C149" s="57" t="s">
        <v>1124</v>
      </c>
      <c r="D149" s="58" t="s">
        <v>1125</v>
      </c>
      <c r="E149" s="57" t="s">
        <v>1126</v>
      </c>
      <c r="F149" s="57" t="s">
        <v>1127</v>
      </c>
      <c r="G149" s="57" t="s">
        <v>1128</v>
      </c>
      <c r="H149" s="57" t="s">
        <v>1129</v>
      </c>
      <c r="I149" s="59"/>
      <c r="J149" s="59"/>
      <c r="K149" s="60" t="s">
        <v>225</v>
      </c>
      <c r="L149" s="57" t="s">
        <v>275</v>
      </c>
      <c r="M149" s="61">
        <v>46280.0</v>
      </c>
      <c r="N149" s="57" t="s">
        <v>1121</v>
      </c>
      <c r="O149" s="33"/>
      <c r="P149" s="33"/>
      <c r="Q149" s="33"/>
      <c r="R149" s="33"/>
      <c r="S149" s="33"/>
      <c r="T149" s="33"/>
      <c r="U149" s="33"/>
      <c r="V149" s="33"/>
      <c r="W149" s="33"/>
      <c r="X149" s="33"/>
      <c r="Y149" s="33"/>
      <c r="Z149" s="33"/>
    </row>
    <row r="150" ht="33.75" customHeight="1">
      <c r="A150" s="57" t="s">
        <v>1130</v>
      </c>
      <c r="B150" s="57" t="s">
        <v>1131</v>
      </c>
      <c r="C150" s="57" t="s">
        <v>1132</v>
      </c>
      <c r="D150" s="58" t="s">
        <v>1133</v>
      </c>
      <c r="E150" s="57" t="s">
        <v>1134</v>
      </c>
      <c r="F150" s="57" t="s">
        <v>1135</v>
      </c>
      <c r="G150" s="57" t="s">
        <v>1136</v>
      </c>
      <c r="H150" s="57" t="s">
        <v>1137</v>
      </c>
      <c r="I150" s="59"/>
      <c r="J150" s="59"/>
      <c r="K150" s="60" t="s">
        <v>225</v>
      </c>
      <c r="L150" s="57" t="s">
        <v>275</v>
      </c>
      <c r="M150" s="61">
        <v>46280.0</v>
      </c>
      <c r="N150" s="57" t="s">
        <v>337</v>
      </c>
      <c r="O150" s="33"/>
      <c r="P150" s="33"/>
      <c r="Q150" s="33"/>
      <c r="R150" s="33"/>
      <c r="S150" s="33"/>
      <c r="T150" s="33"/>
      <c r="U150" s="33"/>
      <c r="V150" s="33"/>
      <c r="W150" s="33"/>
      <c r="X150" s="33"/>
      <c r="Y150" s="33"/>
      <c r="Z150" s="33"/>
    </row>
    <row r="151" ht="33.75" customHeight="1">
      <c r="A151" s="57" t="s">
        <v>1138</v>
      </c>
      <c r="B151" s="57" t="s">
        <v>1139</v>
      </c>
      <c r="C151" s="57" t="s">
        <v>1140</v>
      </c>
      <c r="D151" s="58" t="s">
        <v>1141</v>
      </c>
      <c r="E151" s="57" t="s">
        <v>1142</v>
      </c>
      <c r="F151" s="57" t="s">
        <v>1143</v>
      </c>
      <c r="G151" s="57" t="s">
        <v>1144</v>
      </c>
      <c r="H151" s="57" t="s">
        <v>1145</v>
      </c>
      <c r="I151" s="59"/>
      <c r="J151" s="59"/>
      <c r="K151" s="60" t="s">
        <v>225</v>
      </c>
      <c r="L151" s="57" t="s">
        <v>275</v>
      </c>
      <c r="M151" s="61">
        <v>46280.0</v>
      </c>
      <c r="N151" s="57" t="s">
        <v>337</v>
      </c>
      <c r="O151" s="33"/>
      <c r="P151" s="33"/>
      <c r="Q151" s="33"/>
      <c r="R151" s="33"/>
      <c r="S151" s="33"/>
      <c r="T151" s="33"/>
      <c r="U151" s="33"/>
      <c r="V151" s="33"/>
      <c r="W151" s="33"/>
      <c r="X151" s="33"/>
      <c r="Y151" s="33"/>
      <c r="Z151" s="33"/>
    </row>
    <row r="152" ht="33.75" customHeight="1">
      <c r="A152" s="57" t="s">
        <v>1146</v>
      </c>
      <c r="B152" s="57" t="s">
        <v>1147</v>
      </c>
      <c r="C152" s="57" t="s">
        <v>1148</v>
      </c>
      <c r="D152" s="58" t="s">
        <v>1149</v>
      </c>
      <c r="E152" s="57" t="s">
        <v>1150</v>
      </c>
      <c r="F152" s="57" t="s">
        <v>1151</v>
      </c>
      <c r="G152" s="57" t="s">
        <v>1152</v>
      </c>
      <c r="H152" s="57" t="s">
        <v>1153</v>
      </c>
      <c r="I152" s="59"/>
      <c r="J152" s="59"/>
      <c r="K152" s="62" t="s">
        <v>227</v>
      </c>
      <c r="L152" s="57" t="s">
        <v>275</v>
      </c>
      <c r="M152" s="61">
        <v>46280.0</v>
      </c>
      <c r="N152" s="57" t="s">
        <v>1121</v>
      </c>
      <c r="O152" s="33"/>
      <c r="P152" s="33"/>
      <c r="Q152" s="33"/>
      <c r="R152" s="33"/>
      <c r="S152" s="33"/>
      <c r="T152" s="33"/>
      <c r="U152" s="33"/>
      <c r="V152" s="33"/>
      <c r="W152" s="33"/>
      <c r="X152" s="33"/>
      <c r="Y152" s="33"/>
      <c r="Z152" s="33"/>
    </row>
    <row r="153" ht="33.75" customHeight="1">
      <c r="A153" s="120" t="s">
        <v>1154</v>
      </c>
      <c r="B153" s="2"/>
      <c r="C153" s="2"/>
      <c r="D153" s="2"/>
      <c r="E153" s="2"/>
      <c r="F153" s="2"/>
      <c r="G153" s="2"/>
      <c r="H153" s="2"/>
      <c r="I153" s="2"/>
      <c r="J153" s="2"/>
      <c r="K153" s="2"/>
      <c r="L153" s="2"/>
      <c r="M153" s="2"/>
      <c r="N153" s="3"/>
      <c r="O153" s="33"/>
      <c r="P153" s="33"/>
      <c r="Q153" s="33"/>
      <c r="R153" s="33"/>
      <c r="S153" s="33"/>
      <c r="T153" s="33"/>
      <c r="U153" s="33"/>
      <c r="V153" s="33"/>
      <c r="W153" s="33"/>
      <c r="X153" s="33"/>
      <c r="Y153" s="33"/>
      <c r="Z153" s="33"/>
    </row>
    <row r="154" ht="33.75" customHeight="1">
      <c r="A154" s="121" t="s">
        <v>1155</v>
      </c>
      <c r="B154" s="121" t="s">
        <v>1156</v>
      </c>
      <c r="C154" s="121" t="s">
        <v>1157</v>
      </c>
      <c r="D154" s="122" t="s">
        <v>1158</v>
      </c>
      <c r="E154" s="121" t="s">
        <v>1159</v>
      </c>
      <c r="F154" s="121" t="s">
        <v>1160</v>
      </c>
      <c r="G154" s="121" t="s">
        <v>1161</v>
      </c>
      <c r="H154" s="121" t="s">
        <v>1162</v>
      </c>
      <c r="I154" s="123"/>
      <c r="J154" s="123"/>
      <c r="K154" s="124" t="s">
        <v>227</v>
      </c>
      <c r="L154" s="121" t="s">
        <v>275</v>
      </c>
      <c r="M154" s="61">
        <v>46280.0</v>
      </c>
      <c r="N154" s="121" t="s">
        <v>1163</v>
      </c>
      <c r="O154" s="33"/>
      <c r="P154" s="33"/>
      <c r="Q154" s="33"/>
      <c r="R154" s="33"/>
      <c r="S154" s="33"/>
      <c r="T154" s="33"/>
      <c r="U154" s="33"/>
      <c r="V154" s="33"/>
      <c r="W154" s="33"/>
      <c r="X154" s="33"/>
      <c r="Y154" s="33"/>
      <c r="Z154" s="33"/>
    </row>
    <row r="155" ht="33.75" customHeight="1">
      <c r="A155" s="121" t="s">
        <v>1164</v>
      </c>
      <c r="B155" s="121" t="s">
        <v>1165</v>
      </c>
      <c r="C155" s="121" t="s">
        <v>1166</v>
      </c>
      <c r="D155" s="122" t="s">
        <v>1167</v>
      </c>
      <c r="E155" s="121" t="s">
        <v>1168</v>
      </c>
      <c r="F155" s="121" t="s">
        <v>1169</v>
      </c>
      <c r="G155" s="121" t="s">
        <v>1170</v>
      </c>
      <c r="H155" s="121" t="s">
        <v>1162</v>
      </c>
      <c r="I155" s="123"/>
      <c r="J155" s="123"/>
      <c r="K155" s="124" t="s">
        <v>227</v>
      </c>
      <c r="L155" s="121" t="s">
        <v>275</v>
      </c>
      <c r="M155" s="61">
        <v>46280.0</v>
      </c>
      <c r="N155" s="121" t="s">
        <v>1163</v>
      </c>
      <c r="O155" s="33"/>
      <c r="P155" s="33"/>
      <c r="Q155" s="33"/>
      <c r="R155" s="33"/>
      <c r="S155" s="33"/>
      <c r="T155" s="33"/>
      <c r="U155" s="33"/>
      <c r="V155" s="33"/>
      <c r="W155" s="33"/>
      <c r="X155" s="33"/>
      <c r="Y155" s="33"/>
      <c r="Z155" s="33"/>
    </row>
    <row r="156" ht="33.75" customHeight="1">
      <c r="A156" s="121" t="s">
        <v>1171</v>
      </c>
      <c r="B156" s="121" t="s">
        <v>1172</v>
      </c>
      <c r="C156" s="121" t="s">
        <v>1173</v>
      </c>
      <c r="D156" s="122" t="s">
        <v>1167</v>
      </c>
      <c r="E156" s="121" t="s">
        <v>1174</v>
      </c>
      <c r="F156" s="121" t="s">
        <v>1175</v>
      </c>
      <c r="G156" s="121" t="s">
        <v>1176</v>
      </c>
      <c r="H156" s="121" t="s">
        <v>1177</v>
      </c>
      <c r="I156" s="123"/>
      <c r="J156" s="123"/>
      <c r="K156" s="124" t="s">
        <v>227</v>
      </c>
      <c r="L156" s="121" t="s">
        <v>275</v>
      </c>
      <c r="M156" s="61">
        <v>46280.0</v>
      </c>
      <c r="N156" s="121" t="s">
        <v>1163</v>
      </c>
      <c r="O156" s="33"/>
      <c r="P156" s="33"/>
      <c r="Q156" s="33"/>
      <c r="R156" s="33"/>
      <c r="S156" s="33"/>
      <c r="T156" s="33"/>
      <c r="U156" s="33"/>
      <c r="V156" s="33"/>
      <c r="W156" s="33"/>
      <c r="X156" s="33"/>
      <c r="Y156" s="33"/>
      <c r="Z156" s="33"/>
    </row>
    <row r="157" ht="33.75" customHeight="1">
      <c r="A157" s="121" t="s">
        <v>1178</v>
      </c>
      <c r="B157" s="121" t="s">
        <v>1179</v>
      </c>
      <c r="C157" s="121" t="s">
        <v>1180</v>
      </c>
      <c r="D157" s="122" t="s">
        <v>1181</v>
      </c>
      <c r="E157" s="121" t="s">
        <v>1182</v>
      </c>
      <c r="F157" s="121" t="s">
        <v>1183</v>
      </c>
      <c r="G157" s="121" t="s">
        <v>1184</v>
      </c>
      <c r="H157" s="121" t="s">
        <v>1185</v>
      </c>
      <c r="I157" s="123"/>
      <c r="J157" s="123"/>
      <c r="K157" s="125" t="s">
        <v>229</v>
      </c>
      <c r="L157" s="121" t="s">
        <v>275</v>
      </c>
      <c r="M157" s="61">
        <v>46280.0</v>
      </c>
      <c r="N157" s="121" t="s">
        <v>1163</v>
      </c>
      <c r="O157" s="33"/>
      <c r="P157" s="33"/>
      <c r="Q157" s="33"/>
      <c r="R157" s="33"/>
      <c r="S157" s="33"/>
      <c r="T157" s="33"/>
      <c r="U157" s="33"/>
      <c r="V157" s="33"/>
      <c r="W157" s="33"/>
      <c r="X157" s="33"/>
      <c r="Y157" s="33"/>
      <c r="Z157" s="33"/>
    </row>
    <row r="158" ht="33.75" customHeight="1">
      <c r="A158" s="120" t="s">
        <v>1186</v>
      </c>
      <c r="B158" s="2"/>
      <c r="C158" s="2"/>
      <c r="D158" s="2"/>
      <c r="E158" s="2"/>
      <c r="F158" s="2"/>
      <c r="G158" s="2"/>
      <c r="H158" s="2"/>
      <c r="I158" s="2"/>
      <c r="J158" s="2"/>
      <c r="K158" s="2"/>
      <c r="L158" s="2"/>
      <c r="M158" s="2"/>
      <c r="N158" s="3"/>
      <c r="O158" s="33"/>
      <c r="P158" s="33"/>
      <c r="Q158" s="33"/>
      <c r="R158" s="33"/>
      <c r="S158" s="33"/>
      <c r="T158" s="33"/>
      <c r="U158" s="33"/>
      <c r="V158" s="33"/>
      <c r="W158" s="33"/>
      <c r="X158" s="33"/>
      <c r="Y158" s="33"/>
      <c r="Z158" s="33"/>
    </row>
    <row r="159" ht="33.75" customHeight="1">
      <c r="A159" s="121" t="s">
        <v>1187</v>
      </c>
      <c r="B159" s="121" t="s">
        <v>1188</v>
      </c>
      <c r="C159" s="121" t="s">
        <v>1189</v>
      </c>
      <c r="D159" s="122" t="s">
        <v>1190</v>
      </c>
      <c r="E159" s="121" t="s">
        <v>1191</v>
      </c>
      <c r="F159" s="121" t="s">
        <v>1192</v>
      </c>
      <c r="G159" s="121" t="s">
        <v>1193</v>
      </c>
      <c r="H159" s="121" t="s">
        <v>1194</v>
      </c>
      <c r="I159" s="123"/>
      <c r="J159" s="123"/>
      <c r="K159" s="126" t="s">
        <v>225</v>
      </c>
      <c r="L159" s="121" t="s">
        <v>275</v>
      </c>
      <c r="M159" s="61">
        <v>46280.0</v>
      </c>
      <c r="N159" s="121" t="s">
        <v>1195</v>
      </c>
      <c r="O159" s="33"/>
      <c r="P159" s="33"/>
      <c r="Q159" s="33"/>
      <c r="R159" s="33"/>
      <c r="S159" s="33"/>
      <c r="T159" s="33"/>
      <c r="U159" s="33"/>
      <c r="V159" s="33"/>
      <c r="W159" s="33"/>
      <c r="X159" s="33"/>
      <c r="Y159" s="33"/>
      <c r="Z159" s="33"/>
    </row>
    <row r="160" ht="33.75" customHeight="1">
      <c r="A160" s="121" t="s">
        <v>1196</v>
      </c>
      <c r="B160" s="121" t="s">
        <v>1197</v>
      </c>
      <c r="C160" s="121" t="s">
        <v>1198</v>
      </c>
      <c r="D160" s="122" t="s">
        <v>1199</v>
      </c>
      <c r="E160" s="121" t="s">
        <v>1200</v>
      </c>
      <c r="F160" s="121" t="s">
        <v>1201</v>
      </c>
      <c r="G160" s="121" t="s">
        <v>1202</v>
      </c>
      <c r="H160" s="121" t="s">
        <v>1203</v>
      </c>
      <c r="I160" s="123"/>
      <c r="J160" s="123"/>
      <c r="K160" s="126" t="s">
        <v>225</v>
      </c>
      <c r="L160" s="121" t="s">
        <v>275</v>
      </c>
      <c r="M160" s="61">
        <v>46280.0</v>
      </c>
      <c r="N160" s="121" t="s">
        <v>1195</v>
      </c>
      <c r="O160" s="33"/>
      <c r="P160" s="33"/>
      <c r="Q160" s="33"/>
      <c r="R160" s="33"/>
      <c r="S160" s="33"/>
      <c r="T160" s="33"/>
      <c r="U160" s="33"/>
      <c r="V160" s="33"/>
      <c r="W160" s="33"/>
      <c r="X160" s="33"/>
      <c r="Y160" s="33"/>
      <c r="Z160" s="33"/>
    </row>
    <row r="161" ht="33.75" customHeight="1">
      <c r="A161" s="121" t="s">
        <v>1204</v>
      </c>
      <c r="B161" s="121" t="s">
        <v>1205</v>
      </c>
      <c r="C161" s="121" t="s">
        <v>1206</v>
      </c>
      <c r="D161" s="122" t="s">
        <v>1207</v>
      </c>
      <c r="E161" s="121" t="s">
        <v>1208</v>
      </c>
      <c r="F161" s="121" t="s">
        <v>1209</v>
      </c>
      <c r="G161" s="121" t="s">
        <v>1210</v>
      </c>
      <c r="H161" s="121" t="s">
        <v>1211</v>
      </c>
      <c r="I161" s="123"/>
      <c r="J161" s="123"/>
      <c r="K161" s="124" t="s">
        <v>227</v>
      </c>
      <c r="L161" s="121" t="s">
        <v>275</v>
      </c>
      <c r="M161" s="61">
        <v>46280.0</v>
      </c>
      <c r="N161" s="121" t="s">
        <v>1195</v>
      </c>
      <c r="O161" s="33"/>
      <c r="P161" s="33"/>
      <c r="Q161" s="33"/>
      <c r="R161" s="33"/>
      <c r="S161" s="33"/>
      <c r="T161" s="33"/>
      <c r="U161" s="33"/>
      <c r="V161" s="33"/>
      <c r="W161" s="33"/>
      <c r="X161" s="33"/>
      <c r="Y161" s="33"/>
      <c r="Z161" s="33"/>
    </row>
    <row r="162" ht="43.5" customHeight="1">
      <c r="A162" s="121" t="s">
        <v>1212</v>
      </c>
      <c r="B162" s="121" t="s">
        <v>1213</v>
      </c>
      <c r="C162" s="121" t="s">
        <v>1214</v>
      </c>
      <c r="D162" s="122" t="s">
        <v>1215</v>
      </c>
      <c r="E162" s="121" t="s">
        <v>1216</v>
      </c>
      <c r="F162" s="121" t="s">
        <v>1217</v>
      </c>
      <c r="G162" s="121" t="s">
        <v>1218</v>
      </c>
      <c r="H162" s="121" t="s">
        <v>1219</v>
      </c>
      <c r="I162" s="123"/>
      <c r="J162" s="123"/>
      <c r="K162" s="124" t="s">
        <v>227</v>
      </c>
      <c r="L162" s="121" t="s">
        <v>275</v>
      </c>
      <c r="M162" s="61">
        <v>46280.0</v>
      </c>
      <c r="N162" s="121" t="s">
        <v>1195</v>
      </c>
      <c r="O162" s="33"/>
      <c r="P162" s="33"/>
      <c r="Q162" s="33"/>
      <c r="R162" s="33"/>
      <c r="S162" s="33"/>
      <c r="T162" s="33"/>
      <c r="U162" s="33"/>
      <c r="V162" s="33"/>
      <c r="W162" s="33"/>
      <c r="X162" s="33"/>
      <c r="Y162" s="33"/>
      <c r="Z162" s="33"/>
    </row>
    <row r="163" ht="33.75" customHeight="1">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t="s" s="56">
        <v>1240</v>
      </c>
      <c r="B164" s="2"/>
      <c r="C164" s="2"/>
      <c r="D164" s="2"/>
      <c r="E164" s="2"/>
      <c r="F164" s="2"/>
      <c r="G164" s="2"/>
      <c r="H164" s="2"/>
      <c r="I164" s="2"/>
      <c r="J164" s="2"/>
      <c r="K164" s="2"/>
      <c r="L164" s="2"/>
      <c r="M164" s="2"/>
      <c r="N164" s="3"/>
    </row>
    <row r="165">
      <c r="A165" t="s" s="56">
        <v>1241</v>
      </c>
      <c r="B165" s="2"/>
      <c r="C165" s="2"/>
      <c r="D165" s="2"/>
      <c r="E165" s="2"/>
      <c r="F165" s="2"/>
      <c r="G165" s="2"/>
      <c r="H165" s="2"/>
      <c r="I165" s="2"/>
      <c r="J165" s="2"/>
      <c r="K165" s="2"/>
      <c r="L165" s="2"/>
      <c r="M165" s="2"/>
      <c r="N165" s="3"/>
    </row>
    <row r="166">
      <c r="A166" s="121" t="s">
        <v>1242</v>
      </c>
      <c r="B166" s="121" t="s">
        <v>737</v>
      </c>
      <c r="C166" s="121" t="s">
        <v>738</v>
      </c>
      <c r="D166" s="122" t="s">
        <v>742</v>
      </c>
      <c r="E166" s="121" t="s">
        <v>747</v>
      </c>
      <c r="F166" s="121" t="s">
        <v>1243</v>
      </c>
      <c r="G166" s="121" t="s">
        <v>750</v>
      </c>
      <c r="H166" s="121" t="s">
        <v>1244</v>
      </c>
      <c r="I166" s="123"/>
      <c r="J166" s="123" t="s">
        <v>234</v>
      </c>
      <c r="K166" s="124" t="s">
        <v>225</v>
      </c>
      <c r="L166" s="121"/>
      <c r="M166" s="61"/>
      <c r="N166" s="121" t="s">
        <v>276</v>
      </c>
    </row>
    <row r="167">
      <c r="A167" s="121" t="s">
        <v>1245</v>
      </c>
      <c r="B167" s="121" t="s">
        <v>779</v>
      </c>
      <c r="C167" s="121" t="s">
        <v>780</v>
      </c>
      <c r="D167" s="122" t="s">
        <v>772</v>
      </c>
      <c r="E167" s="121" t="s">
        <v>783</v>
      </c>
      <c r="F167" s="121" t="s">
        <v>1246</v>
      </c>
      <c r="G167" s="121" t="s">
        <v>785</v>
      </c>
      <c r="H167" s="121" t="s">
        <v>786</v>
      </c>
      <c r="I167" s="123"/>
      <c r="J167" s="123" t="s">
        <v>234</v>
      </c>
      <c r="K167" s="124" t="s">
        <v>225</v>
      </c>
      <c r="L167" s="121"/>
      <c r="M167" s="61"/>
      <c r="N167" s="121" t="s">
        <v>276</v>
      </c>
    </row>
    <row r="168">
      <c r="A168" s="121" t="s">
        <v>1247</v>
      </c>
      <c r="B168" s="121" t="s">
        <v>789</v>
      </c>
      <c r="C168" s="121" t="s">
        <v>790</v>
      </c>
      <c r="D168" s="122"/>
      <c r="E168" s="121" t="s">
        <v>794</v>
      </c>
      <c r="F168" s="121" t="s">
        <v>1248</v>
      </c>
      <c r="G168" s="121" t="s">
        <v>797</v>
      </c>
      <c r="H168" s="121"/>
      <c r="I168" s="123"/>
      <c r="J168" s="123" t="s">
        <v>234</v>
      </c>
      <c r="K168" s="124" t="s">
        <v>225</v>
      </c>
      <c r="L168" s="121"/>
      <c r="M168" s="61"/>
      <c r="N168" s="121" t="s">
        <v>276</v>
      </c>
    </row>
    <row r="169">
      <c r="A169" s="121" t="s">
        <v>1249</v>
      </c>
      <c r="B169" s="121" t="s">
        <v>799</v>
      </c>
      <c r="C169" s="121" t="s">
        <v>800</v>
      </c>
      <c r="D169" s="122"/>
      <c r="E169" s="121" t="s">
        <v>801</v>
      </c>
      <c r="F169" s="121" t="s">
        <v>1250</v>
      </c>
      <c r="G169" s="121" t="s">
        <v>805</v>
      </c>
      <c r="H169" s="121"/>
      <c r="I169" s="123"/>
      <c r="J169" s="123" t="s">
        <v>234</v>
      </c>
      <c r="K169" s="124" t="s">
        <v>225</v>
      </c>
      <c r="L169" s="121"/>
      <c r="M169" s="61"/>
      <c r="N169" s="121" t="s">
        <v>276</v>
      </c>
    </row>
    <row r="170">
      <c r="A170" s="121" t="s">
        <v>1251</v>
      </c>
      <c r="B170" s="121" t="s">
        <v>841</v>
      </c>
      <c r="C170" s="121" t="s">
        <v>856</v>
      </c>
      <c r="D170" s="122"/>
      <c r="E170" s="121" t="s">
        <v>843</v>
      </c>
      <c r="F170" s="121" t="s">
        <v>1252</v>
      </c>
      <c r="G170" s="121" t="s">
        <v>858</v>
      </c>
      <c r="H170" s="121"/>
      <c r="I170" s="123"/>
      <c r="J170" s="123" t="s">
        <v>234</v>
      </c>
      <c r="K170" s="124" t="s">
        <v>227</v>
      </c>
      <c r="L170" s="121" t="s">
        <v>827</v>
      </c>
      <c r="M170" s="61" t="s">
        <v>1229</v>
      </c>
      <c r="N170" s="121" t="s">
        <v>276</v>
      </c>
    </row>
    <row r="171">
      <c r="A171" s="121" t="s">
        <v>1253</v>
      </c>
      <c r="B171" s="121" t="s">
        <v>799</v>
      </c>
      <c r="C171" s="121" t="s">
        <v>800</v>
      </c>
      <c r="D171" s="122"/>
      <c r="E171" s="121" t="s">
        <v>873</v>
      </c>
      <c r="F171" s="121" t="s">
        <v>1254</v>
      </c>
      <c r="G171" s="121" t="s">
        <v>805</v>
      </c>
      <c r="H171" s="121"/>
      <c r="I171" s="123"/>
      <c r="J171" s="123" t="s">
        <v>234</v>
      </c>
      <c r="K171" s="124" t="s">
        <v>227</v>
      </c>
      <c r="L171" s="121" t="s">
        <v>827</v>
      </c>
      <c r="M171" s="61" t="s">
        <v>1229</v>
      </c>
      <c r="N171" s="121" t="s">
        <v>276</v>
      </c>
    </row>
    <row r="172">
      <c r="A172" t="s" s="56">
        <v>1255</v>
      </c>
      <c r="B172" s="2"/>
      <c r="C172" s="2"/>
      <c r="D172" s="2"/>
      <c r="E172" s="2"/>
      <c r="F172" s="2"/>
      <c r="G172" s="2"/>
      <c r="H172" s="2"/>
      <c r="I172" s="2"/>
      <c r="J172" s="2"/>
      <c r="K172" s="2"/>
      <c r="L172" s="2"/>
      <c r="M172" s="2"/>
      <c r="N172" s="3"/>
    </row>
    <row r="173">
      <c r="A173" s="121" t="s">
        <v>1256</v>
      </c>
      <c r="B173" s="121" t="s">
        <v>1257</v>
      </c>
      <c r="C173" s="121" t="s">
        <v>902</v>
      </c>
      <c r="D173" s="122"/>
      <c r="E173" s="121" t="s">
        <v>903</v>
      </c>
      <c r="F173" s="121" t="s">
        <v>1258</v>
      </c>
      <c r="G173" s="121" t="s">
        <v>1259</v>
      </c>
      <c r="H173" s="121"/>
      <c r="I173" s="123"/>
      <c r="J173" s="123" t="s">
        <v>234</v>
      </c>
      <c r="K173" s="124" t="s">
        <v>227</v>
      </c>
      <c r="L173" s="121" t="s">
        <v>911</v>
      </c>
      <c r="M173" s="61" t="s">
        <v>1260</v>
      </c>
      <c r="N173" s="121" t="s">
        <v>276</v>
      </c>
    </row>
    <row r="174">
      <c r="A174" s="121" t="s">
        <v>1261</v>
      </c>
      <c r="B174" s="121" t="s">
        <v>1262</v>
      </c>
      <c r="C174" s="121" t="s">
        <v>916</v>
      </c>
      <c r="D174" s="122" t="s">
        <v>918</v>
      </c>
      <c r="E174" s="121" t="s">
        <v>919</v>
      </c>
      <c r="F174" s="121" t="s">
        <v>1263</v>
      </c>
      <c r="G174" s="121" t="s">
        <v>1264</v>
      </c>
      <c r="H174" s="121"/>
      <c r="I174" s="123"/>
      <c r="J174" s="123" t="s">
        <v>234</v>
      </c>
      <c r="K174" s="124" t="s">
        <v>227</v>
      </c>
      <c r="L174" s="121" t="s">
        <v>926</v>
      </c>
      <c r="M174" s="61" t="s">
        <v>1265</v>
      </c>
      <c r="N174" s="121" t="s">
        <v>276</v>
      </c>
    </row>
    <row r="175">
      <c r="A175" s="121" t="s">
        <v>1266</v>
      </c>
      <c r="B175" s="121" t="s">
        <v>1267</v>
      </c>
      <c r="C175" s="121" t="s">
        <v>931</v>
      </c>
      <c r="D175" s="122" t="s">
        <v>932</v>
      </c>
      <c r="E175" s="121" t="s">
        <v>934</v>
      </c>
      <c r="F175" s="121" t="s">
        <v>1268</v>
      </c>
      <c r="G175" s="121" t="s">
        <v>1269</v>
      </c>
      <c r="H175" s="121"/>
      <c r="I175" s="123"/>
      <c r="J175" s="123" t="s">
        <v>234</v>
      </c>
      <c r="K175" s="124" t="s">
        <v>225</v>
      </c>
      <c r="L175" s="121" t="s">
        <v>911</v>
      </c>
      <c r="M175" s="61" t="s">
        <v>1260</v>
      </c>
      <c r="N175" s="121" t="s">
        <v>276</v>
      </c>
    </row>
    <row r="176">
      <c r="A176" s="121" t="s">
        <v>1270</v>
      </c>
      <c r="B176" s="121" t="s">
        <v>1271</v>
      </c>
      <c r="C176" s="121" t="s">
        <v>940</v>
      </c>
      <c r="D176" s="122" t="s">
        <v>932</v>
      </c>
      <c r="E176" s="121" t="s">
        <v>941</v>
      </c>
      <c r="F176" s="121" t="s">
        <v>1272</v>
      </c>
      <c r="G176" s="121" t="s">
        <v>1273</v>
      </c>
      <c r="H176" s="121"/>
      <c r="I176" s="123"/>
      <c r="J176" s="123" t="s">
        <v>234</v>
      </c>
      <c r="K176" s="124" t="s">
        <v>225</v>
      </c>
      <c r="L176" s="121" t="s">
        <v>911</v>
      </c>
      <c r="M176" s="61" t="s">
        <v>1260</v>
      </c>
      <c r="N176" s="121" t="s">
        <v>276</v>
      </c>
    </row>
    <row r="177">
      <c r="A177" s="121" t="s">
        <v>1274</v>
      </c>
      <c r="B177" s="121" t="s">
        <v>1275</v>
      </c>
      <c r="C177" s="121" t="s">
        <v>950</v>
      </c>
      <c r="D177" s="122" t="s">
        <v>1276</v>
      </c>
      <c r="E177" s="121" t="s">
        <v>954</v>
      </c>
      <c r="F177" s="121" t="s">
        <v>1277</v>
      </c>
      <c r="G177" s="121" t="s">
        <v>1278</v>
      </c>
      <c r="H177" s="121"/>
      <c r="I177" s="123"/>
      <c r="J177" s="123" t="s">
        <v>234</v>
      </c>
      <c r="K177" s="124" t="s">
        <v>227</v>
      </c>
      <c r="L177" s="121" t="s">
        <v>827</v>
      </c>
      <c r="M177" s="61"/>
      <c r="N177" s="121" t="s">
        <v>276</v>
      </c>
    </row>
    <row r="178">
      <c r="A178" s="121" t="s">
        <v>1279</v>
      </c>
      <c r="B178" s="121" t="s">
        <v>1280</v>
      </c>
      <c r="C178" s="121" t="s">
        <v>790</v>
      </c>
      <c r="D178" s="122" t="s">
        <v>932</v>
      </c>
      <c r="E178" s="121" t="s">
        <v>964</v>
      </c>
      <c r="F178" s="121" t="s">
        <v>1281</v>
      </c>
      <c r="G178" s="121" t="s">
        <v>1282</v>
      </c>
      <c r="H178" s="121"/>
      <c r="I178" s="123"/>
      <c r="J178" s="123" t="s">
        <v>234</v>
      </c>
      <c r="K178" s="124" t="s">
        <v>229</v>
      </c>
      <c r="L178" s="121" t="s">
        <v>911</v>
      </c>
      <c r="M178" s="61" t="s">
        <v>1260</v>
      </c>
      <c r="N178" s="121" t="s">
        <v>276</v>
      </c>
    </row>
    <row r="179">
      <c r="A179" s="121" t="s">
        <v>1283</v>
      </c>
      <c r="B179" s="121" t="s">
        <v>1284</v>
      </c>
      <c r="C179" s="121" t="s">
        <v>970</v>
      </c>
      <c r="D179" s="122" t="s">
        <v>932</v>
      </c>
      <c r="E179" s="121" t="s">
        <v>971</v>
      </c>
      <c r="F179" s="121" t="s">
        <v>1285</v>
      </c>
      <c r="G179" s="121" t="s">
        <v>1286</v>
      </c>
      <c r="H179" s="121"/>
      <c r="I179" s="123"/>
      <c r="J179" s="123" t="s">
        <v>234</v>
      </c>
      <c r="K179" s="124" t="s">
        <v>229</v>
      </c>
      <c r="L179" s="121" t="s">
        <v>911</v>
      </c>
      <c r="M179" s="61" t="s">
        <v>1260</v>
      </c>
      <c r="N179" s="121" t="s">
        <v>276</v>
      </c>
    </row>
    <row r="180">
      <c r="A180" s="121" t="s">
        <v>1287</v>
      </c>
      <c r="B180" s="121" t="s">
        <v>1288</v>
      </c>
      <c r="C180" s="121" t="s">
        <v>977</v>
      </c>
      <c r="D180" s="122" t="s">
        <v>932</v>
      </c>
      <c r="E180" s="121" t="s">
        <v>978</v>
      </c>
      <c r="F180" s="121" t="s">
        <v>1289</v>
      </c>
      <c r="G180" s="121" t="s">
        <v>980</v>
      </c>
      <c r="H180" s="121"/>
      <c r="I180" s="123"/>
      <c r="J180" s="123" t="s">
        <v>234</v>
      </c>
      <c r="K180" s="124" t="s">
        <v>229</v>
      </c>
      <c r="L180" s="121" t="s">
        <v>911</v>
      </c>
      <c r="M180" s="61" t="s">
        <v>1260</v>
      </c>
      <c r="N180" s="121" t="s">
        <v>337</v>
      </c>
    </row>
    <row r="181">
      <c r="A181" s="121" t="s">
        <v>1290</v>
      </c>
      <c r="B181" s="121" t="s">
        <v>1291</v>
      </c>
      <c r="C181" s="121" t="s">
        <v>984</v>
      </c>
      <c r="D181" s="122" t="s">
        <v>932</v>
      </c>
      <c r="E181" s="121" t="s">
        <v>985</v>
      </c>
      <c r="F181" s="121" t="s">
        <v>1292</v>
      </c>
      <c r="G181" s="121" t="s">
        <v>1293</v>
      </c>
      <c r="H181" s="121"/>
      <c r="I181" s="123"/>
      <c r="J181" s="123" t="s">
        <v>234</v>
      </c>
      <c r="K181" s="124" t="s">
        <v>229</v>
      </c>
      <c r="L181" s="121" t="s">
        <v>911</v>
      </c>
      <c r="M181" s="61" t="s">
        <v>1260</v>
      </c>
      <c r="N181" s="121" t="s">
        <v>276</v>
      </c>
    </row>
    <row r="182">
      <c r="A182" s="121" t="s">
        <v>1294</v>
      </c>
      <c r="B182" s="121" t="s">
        <v>1288</v>
      </c>
      <c r="C182" s="121" t="s">
        <v>977</v>
      </c>
      <c r="D182" s="122" t="s">
        <v>932</v>
      </c>
      <c r="E182" s="121" t="s">
        <v>992</v>
      </c>
      <c r="F182" s="121" t="s">
        <v>1295</v>
      </c>
      <c r="G182" s="121" t="s">
        <v>980</v>
      </c>
      <c r="H182" s="121"/>
      <c r="I182" s="123"/>
      <c r="J182" s="123" t="s">
        <v>234</v>
      </c>
      <c r="K182" s="124" t="s">
        <v>229</v>
      </c>
      <c r="L182" s="121" t="s">
        <v>911</v>
      </c>
      <c r="M182" s="61" t="s">
        <v>1260</v>
      </c>
      <c r="N182" s="121" t="s">
        <v>337</v>
      </c>
    </row>
    <row r="183">
      <c r="A183" s="121" t="s">
        <v>1296</v>
      </c>
      <c r="B183" s="121" t="s">
        <v>1297</v>
      </c>
      <c r="C183" s="121" t="s">
        <v>997</v>
      </c>
      <c r="D183" s="122"/>
      <c r="E183" s="121" t="s">
        <v>1000</v>
      </c>
      <c r="F183" s="121" t="s">
        <v>1298</v>
      </c>
      <c r="G183" s="121" t="s">
        <v>1299</v>
      </c>
      <c r="H183" s="121"/>
      <c r="I183" s="123"/>
      <c r="J183" s="123" t="s">
        <v>234</v>
      </c>
      <c r="K183" s="124" t="s">
        <v>227</v>
      </c>
      <c r="L183" s="121" t="s">
        <v>1005</v>
      </c>
      <c r="M183" s="61" t="s">
        <v>1300</v>
      </c>
      <c r="N183" s="121" t="s">
        <v>276</v>
      </c>
    </row>
    <row r="184">
      <c r="A184" s="121" t="s">
        <v>1301</v>
      </c>
      <c r="B184" s="121" t="s">
        <v>1302</v>
      </c>
      <c r="C184" s="121" t="s">
        <v>1008</v>
      </c>
      <c r="D184" s="122"/>
      <c r="E184" s="121" t="s">
        <v>1010</v>
      </c>
      <c r="F184" s="121" t="s">
        <v>1303</v>
      </c>
      <c r="G184" s="121" t="s">
        <v>1304</v>
      </c>
      <c r="H184" s="121"/>
      <c r="I184" s="123"/>
      <c r="J184" s="123" t="s">
        <v>234</v>
      </c>
      <c r="K184" s="124" t="s">
        <v>227</v>
      </c>
      <c r="L184" s="121" t="s">
        <v>827</v>
      </c>
      <c r="M184" s="61" t="s">
        <v>1265</v>
      </c>
      <c r="N184" s="121" t="s">
        <v>276</v>
      </c>
    </row>
    <row r="185">
      <c r="A185" s="121" t="s">
        <v>1305</v>
      </c>
      <c r="B185" s="121" t="s">
        <v>1306</v>
      </c>
      <c r="C185" s="121" t="s">
        <v>1022</v>
      </c>
      <c r="D185" s="122"/>
      <c r="E185" s="121" t="s">
        <v>1010</v>
      </c>
      <c r="F185" s="121" t="s">
        <v>1307</v>
      </c>
      <c r="G185" s="121" t="s">
        <v>1304</v>
      </c>
      <c r="H185" s="121"/>
      <c r="I185" s="123"/>
      <c r="J185" s="123" t="s">
        <v>234</v>
      </c>
      <c r="K185" s="124" t="s">
        <v>227</v>
      </c>
      <c r="L185" s="121" t="s">
        <v>827</v>
      </c>
      <c r="M185" s="61" t="s">
        <v>1265</v>
      </c>
      <c r="N185" s="121" t="s">
        <v>276</v>
      </c>
    </row>
    <row r="186">
      <c r="A186" s="121" t="s">
        <v>1308</v>
      </c>
      <c r="B186" s="121" t="s">
        <v>1309</v>
      </c>
      <c r="C186" s="121" t="s">
        <v>1032</v>
      </c>
      <c r="D186" s="122"/>
      <c r="E186" s="121" t="s">
        <v>1010</v>
      </c>
      <c r="F186" s="121" t="s">
        <v>1310</v>
      </c>
      <c r="G186" s="121" t="s">
        <v>1304</v>
      </c>
      <c r="H186" s="121"/>
      <c r="I186" s="123"/>
      <c r="J186" s="123" t="s">
        <v>234</v>
      </c>
      <c r="K186" s="124" t="s">
        <v>227</v>
      </c>
      <c r="L186" s="121" t="s">
        <v>827</v>
      </c>
      <c r="M186" s="61" t="s">
        <v>1265</v>
      </c>
      <c r="N186" s="121" t="s">
        <v>276</v>
      </c>
    </row>
    <row r="187">
      <c r="A187" s="121" t="s">
        <v>1311</v>
      </c>
      <c r="B187" s="121" t="s">
        <v>1312</v>
      </c>
      <c r="C187" s="121" t="s">
        <v>1045</v>
      </c>
      <c r="D187" s="122" t="s">
        <v>1046</v>
      </c>
      <c r="E187" s="121" t="s">
        <v>1010</v>
      </c>
      <c r="F187" s="121" t="s">
        <v>1313</v>
      </c>
      <c r="G187" s="121" t="s">
        <v>1314</v>
      </c>
      <c r="H187" s="121"/>
      <c r="I187" s="123"/>
      <c r="J187" s="123"/>
      <c r="K187" s="124" t="s">
        <v>227</v>
      </c>
      <c r="L187" s="121"/>
      <c r="M187" s="61"/>
      <c r="N187" s="121" t="s">
        <v>276</v>
      </c>
    </row>
    <row r="188">
      <c r="A188" s="121" t="s">
        <v>1315</v>
      </c>
      <c r="B188" s="121" t="s">
        <v>1312</v>
      </c>
      <c r="C188" s="121" t="s">
        <v>1057</v>
      </c>
      <c r="D188" s="122" t="s">
        <v>1058</v>
      </c>
      <c r="E188" s="121" t="s">
        <v>1010</v>
      </c>
      <c r="F188" s="121" t="s">
        <v>1316</v>
      </c>
      <c r="G188" s="121" t="s">
        <v>1317</v>
      </c>
      <c r="H188" s="121"/>
      <c r="I188" s="123"/>
      <c r="J188" s="123"/>
      <c r="K188" s="124" t="s">
        <v>227</v>
      </c>
      <c r="L188" s="121"/>
      <c r="M188" s="61"/>
      <c r="N188" s="121" t="s">
        <v>276</v>
      </c>
    </row>
    <row r="189">
      <c r="A189" s="121" t="s">
        <v>1318</v>
      </c>
      <c r="B189" s="121" t="s">
        <v>1312</v>
      </c>
      <c r="C189" s="121" t="s">
        <v>1066</v>
      </c>
      <c r="D189" s="122" t="s">
        <v>1058</v>
      </c>
      <c r="E189" s="121" t="s">
        <v>1010</v>
      </c>
      <c r="F189" s="121" t="s">
        <v>1319</v>
      </c>
      <c r="G189" s="121" t="s">
        <v>1320</v>
      </c>
      <c r="H189" s="121"/>
      <c r="I189" s="123"/>
      <c r="J189" s="123"/>
      <c r="K189" s="124" t="s">
        <v>227</v>
      </c>
      <c r="L189" s="121"/>
      <c r="M189" s="61"/>
      <c r="N189" s="121" t="s">
        <v>276</v>
      </c>
    </row>
    <row r="190">
      <c r="A190" s="121" t="s">
        <v>1321</v>
      </c>
      <c r="B190" s="121" t="s">
        <v>1312</v>
      </c>
      <c r="C190" s="121" t="s">
        <v>1312</v>
      </c>
      <c r="D190" s="122"/>
      <c r="E190" s="121" t="s">
        <v>1010</v>
      </c>
      <c r="F190" s="121" t="s">
        <v>1322</v>
      </c>
      <c r="G190" s="121" t="s">
        <v>1314</v>
      </c>
      <c r="H190" s="121"/>
      <c r="I190" s="123"/>
      <c r="J190" s="123"/>
      <c r="K190" s="124" t="s">
        <v>227</v>
      </c>
      <c r="L190" s="121"/>
      <c r="M190" s="61"/>
      <c r="N190" s="121" t="s">
        <v>276</v>
      </c>
    </row>
    <row r="191">
      <c r="A191" s="121" t="s">
        <v>1323</v>
      </c>
      <c r="B191" s="121" t="s">
        <v>1081</v>
      </c>
      <c r="C191" s="121" t="s">
        <v>1082</v>
      </c>
      <c r="D191" s="122" t="s">
        <v>1083</v>
      </c>
      <c r="E191" s="121" t="s">
        <v>1086</v>
      </c>
      <c r="F191" s="121" t="s">
        <v>1324</v>
      </c>
      <c r="G191" s="121" t="s">
        <v>1259</v>
      </c>
      <c r="H191" s="121"/>
      <c r="I191" s="123"/>
      <c r="J191" s="123" t="s">
        <v>234</v>
      </c>
      <c r="K191" s="124" t="s">
        <v>229</v>
      </c>
      <c r="L191" s="121" t="s">
        <v>911</v>
      </c>
      <c r="M191" s="61" t="s">
        <v>1260</v>
      </c>
      <c r="N191" s="121" t="s">
        <v>276</v>
      </c>
    </row>
    <row r="192">
      <c r="A192" s="121" t="s">
        <v>1325</v>
      </c>
      <c r="B192" s="121" t="s">
        <v>799</v>
      </c>
      <c r="C192" s="121" t="s">
        <v>800</v>
      </c>
      <c r="D192" s="122" t="s">
        <v>1326</v>
      </c>
      <c r="E192" s="121" t="s">
        <v>1105</v>
      </c>
      <c r="F192" s="121" t="s">
        <v>1327</v>
      </c>
      <c r="G192" s="121" t="s">
        <v>1107</v>
      </c>
      <c r="H192" s="121"/>
      <c r="I192" s="123"/>
      <c r="J192" s="123" t="s">
        <v>234</v>
      </c>
      <c r="K192" s="124" t="s">
        <v>229</v>
      </c>
      <c r="L192" s="121" t="s">
        <v>911</v>
      </c>
      <c r="M192" s="61" t="s">
        <v>1260</v>
      </c>
      <c r="N192" s="121" t="s">
        <v>276</v>
      </c>
    </row>
    <row r="193">
      <c r="A193" s="121" t="s">
        <v>1328</v>
      </c>
      <c r="B193" s="121" t="s">
        <v>1117</v>
      </c>
      <c r="C193" s="121" t="s">
        <v>1118</v>
      </c>
      <c r="D193" s="122" t="s">
        <v>1119</v>
      </c>
      <c r="E193" s="121" t="s">
        <v>1120</v>
      </c>
      <c r="F193" s="121" t="s">
        <v>1329</v>
      </c>
      <c r="G193" s="121" t="s">
        <v>1330</v>
      </c>
      <c r="H193" s="121"/>
      <c r="I193" s="123"/>
      <c r="J193" s="123" t="s">
        <v>234</v>
      </c>
      <c r="K193" s="124" t="s">
        <v>227</v>
      </c>
      <c r="L193" s="121" t="s">
        <v>827</v>
      </c>
      <c r="M193" s="61"/>
      <c r="N193" s="121" t="s">
        <v>276</v>
      </c>
    </row>
    <row r="194" ht="33.75" customHeigh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ht="33.75" customHeigh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ht="33.75" customHeigh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ht="33.75" customHeigh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ht="33.75" customHeigh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ht="33.75" customHeigh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ht="33.75" customHeigh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ht="33.75" customHeigh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ht="33.75" customHeigh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ht="33.75" customHeigh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ht="33.75" customHeigh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ht="33.75" customHeigh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ht="33.75" customHeigh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ht="33.75" customHeigh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ht="33.75" customHeigh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ht="33.75" customHeigh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ht="33.75" customHeigh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ht="33.75" customHeigh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ht="33.75" customHeigh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ht="33.75" customHeigh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ht="33.75" customHeigh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ht="33.75" customHeigh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ht="33.75" customHeigh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ht="33.75" customHeigh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ht="33.75" customHeigh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ht="33.75" customHeigh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ht="33.75" customHeigh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ht="33.75" customHeigh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ht="33.75" customHeigh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ht="33.75" customHeigh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ht="33.75" customHeigh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ht="33.75" customHeigh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ht="33.75" customHeigh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ht="33.75" customHeigh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ht="33.75" customHeigh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ht="33.75" customHeigh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ht="33.75" customHeigh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ht="33.75" customHeigh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ht="33.75" customHeigh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ht="33.75" customHeigh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ht="33.75" customHeigh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ht="33.75" customHeigh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ht="33.75" customHeigh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ht="33.75" customHeigh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ht="33.75" customHeigh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ht="33.75" customHeigh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ht="33.75" customHeigh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ht="33.75" customHeigh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ht="33.75" customHeigh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ht="33.75" customHeigh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ht="33.75" customHeigh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ht="33.75" customHeigh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ht="33.75" customHeigh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ht="33.75" customHeigh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ht="33.75" customHeigh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ht="33.75" customHeigh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ht="33.75" customHeigh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ht="33.75" customHeigh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ht="33.75" customHeigh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ht="33.75" customHeigh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ht="33.75" customHeigh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ht="33.75" customHeigh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ht="33.75" customHeigh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ht="33.75" customHeigh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ht="33.75" customHeigh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ht="33.75" customHeigh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ht="33.75" customHeigh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ht="33.75" customHeigh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ht="33.75" customHeigh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ht="33.75" customHeigh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ht="33.75" customHeigh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ht="33.75" customHeigh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ht="33.75" customHeigh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ht="33.75" customHeigh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ht="33.75" customHeigh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ht="33.75" customHeigh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ht="33.75" customHeigh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ht="33.75" customHeigh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ht="33.75" customHeigh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ht="33.75" customHeigh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ht="33.75" customHeigh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ht="33.75" customHeigh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ht="33.75" customHeigh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ht="33.75" customHeigh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ht="33.75" customHeigh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ht="33.75" customHeigh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ht="33.75" customHeigh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ht="33.75" customHeigh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ht="33.75" customHeigh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ht="33.75" customHeigh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ht="33.75" customHeigh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ht="33.75" customHeigh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ht="33.75" customHeigh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ht="33.75" customHeigh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ht="33.75" customHeigh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ht="33.75" customHeigh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ht="33.75" customHeigh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ht="33.75" customHeigh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ht="33.75" customHeigh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ht="33.75" customHeigh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ht="33.75" customHeigh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ht="33.75" customHeigh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ht="33.75" customHeigh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ht="33.75" customHeigh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ht="33.75" customHeigh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ht="33.75" customHeigh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ht="33.75" customHeigh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ht="33.75" customHeigh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ht="33.75" customHeigh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ht="33.75" customHeigh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ht="33.75" customHeigh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ht="33.75" customHeigh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ht="33.75" customHeigh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ht="33.75" customHeigh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ht="33.75" customHeigh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ht="33.75" customHeigh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ht="33.75" customHeigh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ht="33.75" customHeigh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ht="33.75" customHeigh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ht="33.75" customHeigh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ht="33.75" customHeigh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ht="33.75" customHeigh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ht="33.75" customHeigh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ht="33.75" customHeigh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ht="33.75" customHeigh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ht="33.75" customHeigh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ht="33.75" customHeigh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ht="33.75" customHeigh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ht="33.75" customHeigh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ht="33.75" customHeigh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ht="33.75" customHeigh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ht="33.75" customHeigh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ht="33.75" customHeigh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ht="33.75" customHeigh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ht="33.75" customHeigh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ht="33.75" customHeigh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ht="33.75" customHeigh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ht="33.75" customHeigh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ht="33.75" customHeigh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ht="33.75" customHeigh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ht="33.75" customHeigh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ht="33.75" customHeigh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ht="33.75" customHeigh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ht="33.75" customHeigh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ht="33.75" customHeigh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ht="33.75" customHeigh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ht="33.75" customHeigh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ht="33.75" customHeigh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ht="33.75" customHeigh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ht="33.75" customHeigh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ht="33.75" customHeigh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ht="33.75" customHeigh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ht="33.75" customHeigh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ht="33.75" customHeigh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ht="33.75" customHeigh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ht="33.75" customHeigh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ht="33.75" customHeigh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ht="33.75" customHeigh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ht="33.75" customHeigh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ht="33.75" customHeigh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ht="33.75" customHeigh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ht="33.75" customHeigh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ht="33.75" customHeigh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ht="33.75" customHeigh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ht="33.75" customHeigh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ht="33.75" customHeigh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ht="33.75" customHeigh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ht="33.75" customHeigh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ht="33.75" customHeigh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ht="33.75" customHeigh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ht="33.75" customHeigh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ht="33.75" customHeigh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ht="33.75" customHeigh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ht="33.75" customHeigh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ht="33.75" customHeigh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ht="33.75" customHeigh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ht="33.75" customHeigh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ht="33.75" customHeigh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ht="33.75" customHeigh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ht="33.75" customHeigh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ht="33.75" customHeigh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ht="33.75" customHeigh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ht="33.75" customHeigh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ht="33.75" customHeigh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ht="33.75" customHeigh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ht="33.75" customHeigh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ht="33.75" customHeigh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ht="33.75" customHeigh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ht="33.75" customHeigh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ht="33.75" customHeigh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ht="33.75" customHeigh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ht="33.75" customHeigh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ht="33.75" customHeigh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ht="33.75" customHeigh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ht="33.75" customHeigh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ht="33.75" customHeigh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ht="33.75" customHeigh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ht="33.75" customHeigh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ht="33.75" customHeigh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ht="33.75" customHeigh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ht="33.75" customHeigh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ht="33.75" customHeigh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ht="33.75" customHeigh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ht="33.75" customHeigh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ht="33.75" customHeigh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ht="33.75" customHeigh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ht="33.75" customHeigh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ht="33.75" customHeigh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ht="33.75" customHeigh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ht="33.75" customHeigh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ht="33.75" customHeigh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ht="33.75" customHeigh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ht="33.75" customHeigh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ht="33.75" customHeigh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ht="33.75" customHeigh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ht="33.75" customHeigh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ht="33.75" customHeigh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ht="33.75" customHeigh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ht="33.75" customHeigh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ht="33.75" customHeigh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ht="33.75" customHeigh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ht="33.75" customHeigh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ht="33.75" customHeigh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ht="33.75" customHeigh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ht="33.75" customHeigh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ht="33.75" customHeigh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ht="33.75" customHeigh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ht="33.75" customHeigh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ht="33.75" customHeigh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ht="33.75" customHeigh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ht="33.75" customHeigh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ht="33.75" customHeigh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ht="33.75" customHeigh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ht="33.75" customHeigh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ht="33.75" customHeigh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ht="33.75" customHeigh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ht="33.75" customHeigh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ht="33.75" customHeigh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ht="33.75" customHeigh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ht="33.75" customHeigh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ht="33.75" customHeigh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ht="33.75" customHeigh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ht="33.75" customHeigh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ht="33.75" customHeigh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ht="33.75" customHeigh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ht="33.75" customHeigh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ht="33.75" customHeigh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ht="33.75" customHeigh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ht="33.75" customHeigh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ht="33.75" customHeigh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ht="33.75" customHeigh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ht="33.75" customHeigh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ht="33.75" customHeigh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ht="33.75" customHeigh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ht="33.75" customHeigh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ht="33.75" customHeigh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ht="33.75" customHeigh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ht="33.75" customHeigh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ht="33.75" customHeigh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ht="33.75" customHeigh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ht="33.75" customHeigh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ht="33.75" customHeigh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ht="33.75" customHeigh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ht="33.75" customHeigh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ht="33.75" customHeigh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ht="33.75" customHeigh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ht="33.75" customHeigh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ht="33.75" customHeigh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ht="33.75" customHeigh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ht="33.75" customHeigh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ht="33.75" customHeigh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ht="33.75" customHeigh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ht="33.75" customHeigh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ht="33.75" customHeigh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ht="33.75" customHeigh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ht="33.75" customHeigh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ht="33.75" customHeigh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ht="33.75" customHeigh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ht="33.75" customHeigh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ht="33.75" customHeigh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ht="33.75" customHeigh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ht="33.75" customHeigh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ht="33.75" customHeigh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ht="33.75" customHeigh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ht="33.75" customHeigh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ht="33.75" customHeigh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ht="33.75" customHeigh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ht="33.75" customHeigh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ht="33.75" customHeigh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ht="33.75" customHeigh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ht="33.75" customHeigh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ht="33.75" customHeigh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ht="33.75" customHeigh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ht="33.75" customHeigh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ht="33.75" customHeigh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ht="33.75" customHeigh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ht="33.75" customHeigh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ht="33.75" customHeigh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ht="33.75" customHeigh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ht="33.75" customHeigh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ht="33.75" customHeigh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ht="33.75" customHeigh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ht="33.75" customHeigh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ht="33.75" customHeigh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ht="33.75" customHeigh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ht="33.75" customHeigh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ht="33.75" customHeigh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ht="33.75" customHeigh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ht="33.75" customHeigh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ht="33.75" customHeigh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ht="33.75" customHeigh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ht="33.75" customHeigh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ht="33.75" customHeigh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ht="33.75" customHeigh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ht="33.75" customHeigh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ht="33.75" customHeigh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ht="33.75" customHeigh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ht="33.75" customHeigh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ht="33.75" customHeigh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ht="33.75" customHeigh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ht="33.75"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ht="33.75" customHeigh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ht="33.75" customHeigh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ht="33.75" customHeigh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ht="33.75" customHeigh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ht="33.75" customHeigh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ht="33.75" customHeigh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ht="33.75" customHeigh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ht="33.75" customHeigh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ht="33.75" customHeigh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ht="33.75" customHeigh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ht="33.75" customHeigh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ht="33.75" customHeigh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ht="33.75" customHeigh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ht="33.75" customHeigh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ht="33.75" customHeigh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ht="33.75" customHeigh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ht="33.75" customHeigh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ht="33.75" customHeigh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ht="33.75" customHeigh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ht="33.75" customHeigh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ht="33.75" customHeigh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ht="33.75" customHeigh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ht="33.75" customHeigh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ht="33.75" customHeigh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ht="33.75" customHeigh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ht="33.75" customHeigh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ht="33.75" customHeigh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ht="33.75" customHeigh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ht="33.75" customHeigh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ht="33.75" customHeigh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ht="33.75" customHeigh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ht="33.75" customHeigh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ht="33.75" customHeigh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ht="33.75" customHeigh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ht="33.75" customHeigh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ht="33.75" customHeigh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ht="33.75" customHeigh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ht="33.75" customHeigh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ht="33.75" customHeigh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ht="33.75" customHeigh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ht="33.75" customHeigh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ht="33.75" customHeigh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ht="33.75" customHeigh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ht="33.75" customHeigh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ht="33.75" customHeigh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ht="33.75" customHeigh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ht="33.75" customHeigh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ht="33.75" customHeigh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ht="33.75" customHeigh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ht="33.75" customHeigh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ht="33.75" customHeigh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ht="33.75" customHeigh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ht="33.75" customHeigh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ht="33.75" customHeigh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ht="33.75" customHeigh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ht="33.75" customHeigh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ht="33.75" customHeigh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ht="33.75" customHeigh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ht="33.75" customHeigh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ht="33.75" customHeigh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ht="33.75" customHeigh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ht="33.75" customHeigh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ht="33.75" customHeigh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ht="33.75" customHeigh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ht="33.75" customHeigh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ht="33.75" customHeigh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ht="33.75" customHeigh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ht="33.75" customHeigh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ht="33.75" customHeigh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ht="33.75" customHeigh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ht="33.75" customHeigh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ht="33.75" customHeigh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ht="33.75" customHeigh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ht="33.75" customHeigh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ht="33.75" customHeigh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ht="33.75" customHeigh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ht="33.75" customHeigh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ht="33.75" customHeigh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ht="33.75" customHeigh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ht="33.75" customHeigh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ht="33.75" customHeigh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ht="33.75" customHeigh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ht="33.75" customHeigh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ht="33.75" customHeigh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ht="33.75" customHeigh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ht="33.75" customHeigh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ht="33.75" customHeigh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ht="33.75" customHeigh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ht="33.75" customHeigh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ht="33.75" customHeigh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ht="33.75" customHeigh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ht="33.75" customHeigh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ht="33.75" customHeigh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ht="33.75" customHeigh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ht="33.75" customHeigh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ht="33.75" customHeigh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ht="33.75" customHeigh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ht="33.75" customHeigh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ht="33.75" customHeigh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ht="33.75" customHeigh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ht="33.75" customHeigh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ht="33.75" customHeigh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ht="33.75" customHeigh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ht="33.75" customHeigh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ht="33.75" customHeigh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ht="33.75" customHeigh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ht="33.75" customHeigh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ht="33.75" customHeigh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ht="33.75" customHeigh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ht="33.75" customHeigh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ht="33.75" customHeigh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ht="33.75" customHeigh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ht="33.75" customHeigh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ht="33.75" customHeigh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ht="33.75" customHeigh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ht="33.75" customHeigh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ht="33.75" customHeigh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ht="33.75" customHeigh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ht="33.75" customHeigh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ht="33.75" customHeigh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ht="33.75" customHeigh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ht="33.75" customHeigh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ht="33.75" customHeigh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ht="33.75" customHeigh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ht="33.75" customHeigh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ht="33.75" customHeigh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ht="33.75" customHeigh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ht="33.75" customHeigh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ht="33.75" customHeigh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ht="33.75" customHeigh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ht="33.75" customHeigh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ht="33.75" customHeigh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ht="33.75" customHeigh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ht="33.75" customHeigh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ht="33.75" customHeigh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ht="33.75" customHeigh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ht="33.75" customHeigh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ht="33.75" customHeigh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ht="33.75" customHeigh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ht="33.75" customHeigh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ht="33.75" customHeigh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ht="33.75" customHeigh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ht="33.75" customHeigh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ht="33.75" customHeigh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ht="33.75" customHeigh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ht="33.75" customHeigh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ht="33.75" customHeigh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ht="33.75" customHeigh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ht="33.75" customHeigh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ht="33.75" customHeigh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ht="33.75" customHeigh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ht="33.75" customHeigh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ht="33.75" customHeigh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ht="33.75" customHeigh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ht="33.75" customHeigh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ht="33.75" customHeigh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ht="33.75" customHeigh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ht="33.75" customHeigh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ht="33.75" customHeigh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ht="33.75" customHeigh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ht="33.75" customHeigh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ht="33.75" customHeigh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ht="33.75" customHeigh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ht="33.75" customHeigh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ht="33.75" customHeigh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ht="33.75" customHeigh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ht="33.75" customHeigh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ht="33.75" customHeigh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ht="33.75" customHeigh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ht="33.75" customHeigh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ht="33.75" customHeigh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ht="33.75" customHeigh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ht="33.75" customHeigh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ht="33.75" customHeigh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ht="33.75" customHeigh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ht="33.75" customHeigh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ht="33.75" customHeigh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ht="33.75" customHeigh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ht="33.75" customHeigh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ht="33.75" customHeigh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ht="33.75" customHeigh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ht="33.75" customHeigh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ht="33.75" customHeigh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ht="33.75" customHeigh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ht="33.75" customHeigh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ht="33.75" customHeigh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ht="33.75" customHeigh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ht="33.75" customHeigh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ht="33.75" customHeigh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ht="33.75" customHeigh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ht="33.75" customHeigh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ht="33.75" customHeigh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ht="33.75" customHeigh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ht="33.75" customHeigh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ht="33.75" customHeigh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ht="33.75" customHeigh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ht="33.75" customHeigh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ht="33.75" customHeigh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ht="33.75" customHeigh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ht="33.75" customHeigh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ht="33.75" customHeigh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ht="33.75" customHeigh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ht="33.75" customHeigh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ht="33.75" customHeigh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ht="33.75" customHeigh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ht="33.75" customHeigh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ht="33.75" customHeigh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ht="33.75" customHeigh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ht="33.75" customHeigh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ht="33.75" customHeigh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ht="33.75" customHeigh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ht="33.75" customHeigh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ht="33.75" customHeigh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ht="33.75" customHeigh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ht="33.75" customHeigh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ht="33.75" customHeigh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ht="33.75" customHeigh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ht="33.75" customHeigh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ht="33.75" customHeigh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ht="33.75" customHeigh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ht="33.75" customHeigh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ht="33.75" customHeigh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ht="33.75" customHeigh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ht="33.75" customHeigh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ht="33.75" customHeigh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ht="33.75" customHeigh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ht="33.75" customHeigh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ht="33.75" customHeigh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ht="33.75" customHeigh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ht="33.75" customHeigh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ht="33.75" customHeigh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ht="33.75" customHeigh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ht="33.75" customHeigh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ht="33.75" customHeigh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ht="33.75" customHeigh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ht="33.75" customHeigh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ht="33.75" customHeigh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ht="33.75" customHeigh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ht="33.75" customHeigh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ht="33.75" customHeigh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ht="33.75" customHeigh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ht="33.75" customHeigh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ht="33.75" customHeigh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ht="33.75" customHeigh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ht="33.75" customHeigh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ht="33.75" customHeigh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ht="33.75" customHeigh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ht="33.75" customHeigh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ht="33.75" customHeigh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ht="33.75" customHeigh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ht="33.75" customHeigh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ht="33.75" customHeigh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ht="33.75" customHeigh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ht="33.75" customHeigh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ht="33.75" customHeigh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ht="33.75" customHeigh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ht="33.75" customHeigh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ht="33.75" customHeigh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ht="33.75" customHeigh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ht="33.75" customHeigh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ht="33.75" customHeigh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ht="33.75" customHeigh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ht="33.75" customHeigh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ht="33.75" customHeigh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ht="33.75" customHeigh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ht="33.75" customHeigh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ht="33.75" customHeigh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ht="33.75" customHeigh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ht="33.75" customHeigh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ht="33.75" customHeigh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ht="33.75" customHeigh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ht="33.75" customHeigh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ht="33.75" customHeigh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ht="33.75" customHeigh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ht="33.75" customHeigh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ht="33.75" customHeigh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ht="33.75" customHeigh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ht="33.75" customHeigh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ht="33.75" customHeigh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ht="33.75" customHeigh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ht="33.75" customHeigh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ht="33.75" customHeigh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ht="33.75" customHeigh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ht="33.75" customHeigh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ht="33.75" customHeigh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ht="33.75" customHeigh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ht="33.75" customHeigh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ht="33.75" customHeigh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ht="33.75" customHeigh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ht="33.75" customHeigh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ht="33.75" customHeigh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ht="33.75" customHeigh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ht="33.75" customHeigh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ht="33.75" customHeigh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ht="33.75" customHeigh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ht="33.75" customHeigh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ht="33.75" customHeigh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ht="33.75" customHeigh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ht="33.75" customHeigh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ht="33.75" customHeigh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ht="33.75" customHeigh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ht="33.75" customHeigh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ht="33.75" customHeigh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ht="33.75" customHeigh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ht="33.75" customHeigh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ht="33.75" customHeigh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ht="33.75" customHeigh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ht="33.75" customHeigh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ht="33.75" customHeigh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ht="33.75" customHeigh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ht="33.75" customHeigh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ht="33.75" customHeigh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ht="33.75" customHeigh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ht="33.75" customHeigh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ht="33.75" customHeigh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ht="33.75" customHeigh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ht="33.75" customHeigh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ht="33.75" customHeigh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ht="33.75" customHeigh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ht="33.75" customHeigh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ht="33.75" customHeigh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ht="33.75" customHeigh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ht="33.75" customHeigh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ht="33.75" customHeigh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ht="33.75" customHeigh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ht="33.75" customHeigh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ht="33.75" customHeigh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ht="33.75" customHeigh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ht="33.75" customHeigh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ht="33.75" customHeigh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ht="33.75" customHeigh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ht="33.75" customHeigh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ht="33.75" customHeigh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ht="33.75" customHeigh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ht="33.75" customHeigh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ht="33.75" customHeigh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ht="33.75" customHeigh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ht="33.75" customHeigh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ht="33.75" customHeigh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ht="33.75" customHeigh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ht="33.75" customHeigh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ht="33.75" customHeigh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ht="33.75" customHeigh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ht="33.75" customHeigh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ht="33.75" customHeigh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ht="33.75" customHeigh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ht="33.75" customHeigh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ht="33.75" customHeigh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ht="33.75" customHeigh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ht="33.75" customHeigh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ht="33.75" customHeigh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ht="33.75" customHeigh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ht="33.75" customHeigh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ht="33.75" customHeigh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ht="33.75" customHeigh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ht="33.75" customHeigh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ht="33.75" customHeigh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ht="33.75" customHeigh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ht="33.75" customHeigh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ht="33.75" customHeigh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ht="33.75" customHeigh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ht="33.75" customHeigh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ht="33.75" customHeigh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ht="33.75" customHeigh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ht="33.75" customHeigh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ht="33.75" customHeigh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ht="33.75" customHeigh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ht="33.75" customHeigh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ht="33.75" customHeight="1">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ht="33.75" customHeight="1">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ht="33.75" customHeight="1">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ht="33.75" customHeight="1">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ht="33.75" customHeight="1">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ht="33.75" customHeight="1">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ht="33.75" customHeight="1">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ht="33.75" customHeight="1">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ht="33.75" customHeight="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ht="33.75" customHeight="1">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ht="33.75" customHeight="1">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ht="33.75" customHeight="1">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ht="33.75" customHeight="1">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ht="33.75" customHeight="1">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ht="33.75" customHeight="1">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ht="33.75" customHeight="1">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ht="33.75" customHeight="1">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ht="33.75" customHeight="1">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ht="33.75" customHeight="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ht="33.75" customHeight="1">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ht="33.75" customHeight="1">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ht="33.75" customHeight="1">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ht="33.75" customHeight="1">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ht="33.75" customHeight="1">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ht="33.75" customHeight="1">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ht="33.75" customHeight="1">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ht="33.75" customHeight="1">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ht="33.75" customHeight="1">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ht="33.75" customHeight="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ht="33.75" customHeight="1">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ht="33.75" customHeight="1">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ht="33.75" customHeight="1">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ht="33.75" customHeight="1">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ht="33.75" customHeight="1">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ht="33.75" customHeight="1">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ht="33.75" customHeight="1">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ht="33.75" customHeight="1">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ht="33.75" customHeight="1">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ht="33.75" customHeight="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ht="33.75" customHeight="1">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ht="33.75" customHeight="1">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ht="33.75" customHeight="1">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ht="33.75" customHeight="1">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ht="33.75" customHeight="1">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ht="33.75" customHeight="1">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ht="33.75" customHeight="1">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ht="33.75" customHeight="1">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ht="33.75" customHeight="1">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ht="33.75" customHeight="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ht="33.75" customHeight="1">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ht="33.75" customHeight="1">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ht="33.75" customHeight="1">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ht="33.75" customHeight="1">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ht="33.75" customHeight="1">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ht="33.75" customHeight="1">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ht="33.75" customHeight="1">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ht="33.75" customHeight="1">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ht="33.75" customHeight="1">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ht="33.75" customHeight="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ht="33.75" customHeight="1">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ht="33.75" customHeight="1">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ht="33.75" customHeight="1">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ht="33.75" customHeight="1">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ht="33.75" customHeight="1">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ht="33.75" customHeight="1">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ht="33.75" customHeight="1">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ht="33.75" customHeight="1">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ht="33.75" customHeight="1">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ht="33.75" customHeight="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ht="33.75" customHeight="1">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ht="33.75" customHeight="1">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ht="33.75" customHeight="1">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ht="33.75" customHeight="1">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ht="33.75" customHeight="1">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ht="33.75" customHeight="1">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ht="33.75" customHeight="1">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ht="33.75" customHeight="1">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ht="33.75" customHeight="1">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ht="33.75" customHeight="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ht="33.75" customHeight="1">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ht="33.75" customHeight="1">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ht="33.75" customHeight="1">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ht="33.75" customHeight="1">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ht="33.75" customHeight="1">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ht="33.75" customHeight="1">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ht="33.75" customHeight="1">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ht="33.75" customHeight="1">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ht="33.75" customHeight="1">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ht="33.75" customHeight="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ht="33.75" customHeight="1">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ht="33.75" customHeight="1">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ht="33.75" customHeight="1">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ht="33.75" customHeight="1">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ht="33.75" customHeight="1">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ht="33.75" customHeight="1">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ht="33.75" customHeight="1">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ht="33.75" customHeight="1">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ht="33.75" customHeight="1">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ht="33.75" customHeight="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ht="33.75" customHeight="1">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ht="33.75" customHeight="1">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ht="33.75" customHeight="1">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ht="33.75" customHeight="1">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ht="33.75" customHeight="1">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ht="33.75" customHeight="1">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ht="33.75" customHeight="1">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ht="33.75" customHeight="1">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ht="33.75" customHeight="1">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ht="33.75" customHeight="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ht="33.75" customHeight="1">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ht="33.75" customHeight="1">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ht="33.75" customHeight="1">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ht="33.75" customHeight="1">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ht="33.75" customHeight="1">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ht="33.75" customHeight="1">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ht="33.75" customHeight="1">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ht="33.75" customHeight="1">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ht="33.75" customHeight="1">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mergeCells count="25">
    <mergeCell ref="A8:B8"/>
    <mergeCell ref="A9:N9"/>
    <mergeCell ref="A11:N11"/>
    <mergeCell ref="A12:N12"/>
    <mergeCell ref="A19:N19"/>
    <mergeCell ref="A24:N24"/>
    <mergeCell ref="A36:N36"/>
    <mergeCell ref="A45:N45"/>
    <mergeCell ref="A50:N50"/>
    <mergeCell ref="A62:N62"/>
    <mergeCell ref="A71:N71"/>
    <mergeCell ref="A77:N77"/>
    <mergeCell ref="A78:N78"/>
    <mergeCell ref="A85:N85"/>
    <mergeCell ref="A143:N143"/>
    <mergeCell ref="A147:N147"/>
    <mergeCell ref="A153:N153"/>
    <mergeCell ref="A158:N158"/>
    <mergeCell ref="A89:N89"/>
    <mergeCell ref="A102:N102"/>
    <mergeCell ref="A111:N111"/>
    <mergeCell ref="A116:N116"/>
    <mergeCell ref="A126:N126"/>
    <mergeCell ref="A135:N135"/>
    <mergeCell ref="A142:N142"/>
  </mergeCells>
  <dataValidations>
    <dataValidation type="list" allowBlank="1" showErrorMessage="1" sqref="L13:L18 L22:L23 L25 L27:L30 L32:L35 L37:L44 L47:L49 L51:L56 L58:L61 L63:L70 L73:L76 L79:L80 L82:L84 L86:L88 L91:L95 L97:L100 L103:L110 L112:L115 L117:L125 L127:L134 L136:L141 L144:L146 L148:L152 L154:L157 L159:L162">
      <formula1>#REF!</formula1>
    </dataValidation>
    <dataValidation type="list" allowBlank="1" sqref="N5:N8 N10 N13:N18 N20:N23 N25:N35 N37:N44 N46:N49 N51:N61 N63:N70 N72:N76 N79:N84 N86:N88 N90:N101 N103:N110 N112:N115 N117:N125 N127:N134 N136:N141 N144:N146 N148:N152 N154:N157 N159:N162">
      <formula1>"Functional,Negative,Boundary,UI,Integration,Access,Localization,Regression"</formula1>
    </dataValidation>
    <dataValidation type="list" allowBlank="1" sqref="J5:J8 J10 J13:J18 J20:J23 J25:J35 J37:J44 J46:J49 J51:J61 J63:J70 J72:J76 J79:J84 J86:J88 J90:J101 J103:J110 J112:J115 J117:J125 J127:J134 J136:J141 J144:J146 J148:J152 J154:J157 J159:J162">
      <formula1>"Pass,Fail"</formula1>
    </dataValidation>
    <dataValidation type="list" allowBlank="1" sqref="K5:K8 K10 K13:K18 K20:K23 K25:K35 K37:K44 K46:K49 K51:K61 K63:K70 K72:K76 K79:K84 K86:K88 K90:K101 K103:K110 K112:K115 K117:K125 K127:K134 K136:K141 K144:K146 K148:K152 K154:K157 K159:K162">
      <formula1>"High,Medium,Low"</formula1>
    </dataValidation>
    <dataValidation type="list" allowBlank="1" sqref="M18 M22:M23 M25 M27:M30 M32:M35 M37:M44 M47:M49 M51:M54">
      <formula1>#REF!</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sheetPr>
    <tabColor rgb="00FF00"/>
  </sheetPr>
  <dimension ref="A1:Z1021"/>
  <sheetViews>
    <sheetView workbookViewId="0">
      <pane xSplit="3.0" ySplit="2.0" state="frozen" topLeftCell="D3" activePane="bottomRight"/>
      <selection pane="bottomRight"/>
    </sheetView>
  </sheetViews>
  <sheetFormatPr defaultRowHeight="15.0"/>
  <cols>
    <col min="1" max="1" customWidth="true" hidden="false" width="13.0"/>
    <col min="2" max="2" customWidth="true" hidden="false" width="36.0"/>
    <col min="3" max="3" customWidth="true" hidden="false" width="34.0"/>
    <col min="4" max="4" customWidth="true" hidden="false" width="30.0"/>
    <col min="5" max="5" customWidth="true" hidden="false" width="34.0"/>
    <col min="6" max="6" customWidth="true" hidden="false" width="22.0"/>
    <col min="7" max="7" customWidth="true" hidden="false" width="34.0"/>
    <col min="8" max="8" customWidth="true" hidden="false" width="28.0"/>
    <col min="9" max="9" customWidth="true" hidden="false" width="18.0"/>
    <col min="10" max="10" customWidth="true" hidden="false" width="14.0"/>
    <col min="11" max="11" customWidth="true" hidden="false" width="12.0"/>
    <col min="12" max="12" customWidth="true" hidden="false" width="8.0"/>
    <col min="13" max="13" customWidth="true" hidden="false" width="12.0"/>
    <col min="14" max="14" customWidth="true" hidden="false" width="13.0"/>
    <col min="15" max="15" customWidth="true" hidden="false" width="8.7109375"/>
    <col min="16" max="16" customWidth="true" hidden="false" width="8.7109375"/>
    <col min="17" max="17" customWidth="true" hidden="false" width="8.7109375"/>
    <col min="18" max="18" customWidth="true" hidden="false" width="8.7109375"/>
    <col min="19" max="19" customWidth="true" hidden="false" width="8.7109375"/>
    <col min="20" max="20" customWidth="true" hidden="false" width="8.7109375"/>
    <col min="21" max="21" customWidth="true" hidden="false" width="8.7109375"/>
    <col min="22" max="22" customWidth="true" hidden="false" width="8.7109375"/>
    <col min="23" max="23" customWidth="true" hidden="false" width="8.7109375"/>
    <col min="24" max="24" customWidth="true" hidden="false" width="8.7109375"/>
    <col min="25" max="25" customWidth="true" hidden="false" width="8.7109375"/>
    <col min="26" max="26" customWidth="true" hidden="false" width="8.7109375"/>
  </cols>
  <sheetData>
    <row r="1" ht="30.0" customHeight="true">
      <c r="A1" s="128" t="s">
        <v>1331</v>
      </c>
      <c r="B1" s="129"/>
      <c r="C1" s="129"/>
      <c r="D1" s="129"/>
      <c r="E1" s="129"/>
      <c r="F1" s="129"/>
      <c r="G1" s="129"/>
      <c r="H1" s="129"/>
      <c r="I1" s="129"/>
      <c r="J1" s="129"/>
      <c r="K1" s="129"/>
      <c r="L1" s="129"/>
      <c r="M1" s="129"/>
      <c r="N1" s="130"/>
      <c r="O1" s="131"/>
      <c r="P1" s="131"/>
      <c r="Q1" s="131"/>
      <c r="R1" s="131"/>
      <c r="S1" s="131"/>
      <c r="T1" s="131"/>
      <c r="U1" s="131"/>
      <c r="V1" s="131"/>
      <c r="W1" s="131"/>
      <c r="X1" s="131"/>
      <c r="Y1" s="131"/>
      <c r="Z1" s="131"/>
    </row>
    <row r="2" ht="24.0" customHeight="true">
      <c r="A2" s="132" t="s">
        <v>252</v>
      </c>
      <c r="B2" s="132" t="s">
        <v>253</v>
      </c>
      <c r="C2" s="132" t="s">
        <v>254</v>
      </c>
      <c r="D2" s="132" t="s">
        <v>255</v>
      </c>
      <c r="E2" s="132" t="s">
        <v>256</v>
      </c>
      <c r="F2" s="132" t="s">
        <v>257</v>
      </c>
      <c r="G2" s="132" t="s">
        <v>258</v>
      </c>
      <c r="H2" s="132" t="s">
        <v>259</v>
      </c>
      <c r="I2" s="132" t="s">
        <v>260</v>
      </c>
      <c r="J2" s="132" t="s">
        <v>261</v>
      </c>
      <c r="K2" s="132" t="s">
        <v>224</v>
      </c>
      <c r="L2" s="132" t="s">
        <v>262</v>
      </c>
      <c r="M2" s="132" t="s">
        <v>263</v>
      </c>
      <c r="N2" s="132" t="s">
        <v>264</v>
      </c>
      <c r="O2" s="131"/>
      <c r="P2" s="131"/>
      <c r="Q2" s="131"/>
      <c r="R2" s="131"/>
      <c r="S2" s="131"/>
      <c r="T2" s="131"/>
      <c r="U2" s="131"/>
      <c r="V2" s="131"/>
      <c r="W2" s="131"/>
      <c r="X2" s="131"/>
      <c r="Y2" s="131"/>
      <c r="Z2" s="131"/>
    </row>
    <row r="3" ht="21.75" customHeight="true">
      <c r="A3" s="133" t="s">
        <v>1332</v>
      </c>
      <c r="B3" s="129"/>
      <c r="C3" s="129"/>
      <c r="D3" s="129"/>
      <c r="E3" s="129"/>
      <c r="F3" s="129"/>
      <c r="G3" s="129"/>
      <c r="H3" s="129"/>
      <c r="I3" s="129"/>
      <c r="J3" s="129"/>
      <c r="K3" s="129"/>
      <c r="L3" s="129"/>
      <c r="M3" s="129"/>
      <c r="N3" s="130"/>
      <c r="O3" s="131"/>
      <c r="P3" s="131"/>
      <c r="Q3" s="131"/>
      <c r="R3" s="131"/>
      <c r="S3" s="131"/>
      <c r="T3" s="131"/>
      <c r="U3" s="131"/>
      <c r="V3" s="131"/>
      <c r="W3" s="131"/>
      <c r="X3" s="131"/>
      <c r="Y3" s="131"/>
      <c r="Z3" s="131"/>
    </row>
    <row r="4" ht="90.0" customHeight="true">
      <c r="A4" s="134" t="s">
        <v>1333</v>
      </c>
      <c r="B4" s="135" t="s">
        <v>1334</v>
      </c>
      <c r="C4" s="135" t="s">
        <v>1335</v>
      </c>
      <c r="D4" s="136" t="s">
        <v>1336</v>
      </c>
      <c r="E4" s="135" t="s">
        <v>1337</v>
      </c>
      <c r="F4" s="135" t="s">
        <v>1338</v>
      </c>
      <c r="G4" s="135" t="s">
        <v>1339</v>
      </c>
      <c r="H4" s="135" t="s">
        <v>1340</v>
      </c>
      <c r="I4" s="135"/>
      <c r="J4" s="135"/>
      <c r="K4" s="137" t="s">
        <v>225</v>
      </c>
      <c r="L4" s="134" t="s">
        <v>1341</v>
      </c>
      <c r="M4" s="138" t="n">
        <v>46288.0</v>
      </c>
      <c r="N4" s="134" t="s">
        <v>276</v>
      </c>
      <c r="O4" s="131"/>
      <c r="P4" s="131"/>
      <c r="Q4" s="131"/>
      <c r="R4" s="131"/>
      <c r="S4" s="131"/>
      <c r="T4" s="131"/>
      <c r="U4" s="131"/>
      <c r="V4" s="131"/>
      <c r="W4" s="131"/>
      <c r="X4" s="131"/>
      <c r="Y4" s="131"/>
      <c r="Z4" s="131"/>
    </row>
    <row r="5" ht="90.0" customHeight="true">
      <c r="A5" s="134" t="s">
        <v>1342</v>
      </c>
      <c r="B5" s="135" t="s">
        <v>1343</v>
      </c>
      <c r="C5" s="135" t="s">
        <v>1344</v>
      </c>
      <c r="D5" s="136" t="s">
        <v>1345</v>
      </c>
      <c r="E5" s="135" t="s">
        <v>1346</v>
      </c>
      <c r="F5" s="135" t="s">
        <v>1347</v>
      </c>
      <c r="G5" s="135" t="s">
        <v>1348</v>
      </c>
      <c r="H5" s="135" t="s">
        <v>284</v>
      </c>
      <c r="I5" s="135"/>
      <c r="J5" s="135"/>
      <c r="K5" s="139" t="s">
        <v>227</v>
      </c>
      <c r="L5" s="134" t="s">
        <v>1341</v>
      </c>
      <c r="M5" s="138" t="n">
        <v>46288.0</v>
      </c>
      <c r="N5" s="134" t="s">
        <v>276</v>
      </c>
      <c r="O5" s="131"/>
      <c r="P5" s="131"/>
      <c r="Q5" s="131"/>
      <c r="R5" s="131"/>
      <c r="S5" s="131"/>
      <c r="T5" s="131"/>
      <c r="U5" s="131"/>
      <c r="V5" s="131"/>
      <c r="W5" s="131"/>
      <c r="X5" s="131"/>
      <c r="Y5" s="131"/>
      <c r="Z5" s="131"/>
    </row>
    <row r="6" ht="90.0" customHeight="true">
      <c r="A6" s="134" t="s">
        <v>1349</v>
      </c>
      <c r="B6" s="135" t="s">
        <v>1350</v>
      </c>
      <c r="C6" s="135" t="s">
        <v>1351</v>
      </c>
      <c r="D6" s="136" t="s">
        <v>1352</v>
      </c>
      <c r="E6" s="135" t="s">
        <v>1353</v>
      </c>
      <c r="F6" s="135" t="s">
        <v>1354</v>
      </c>
      <c r="G6" s="135" t="s">
        <v>1355</v>
      </c>
      <c r="H6" s="135" t="s">
        <v>284</v>
      </c>
      <c r="I6" s="135"/>
      <c r="J6" s="135"/>
      <c r="K6" s="139" t="s">
        <v>227</v>
      </c>
      <c r="L6" s="134" t="s">
        <v>1341</v>
      </c>
      <c r="M6" s="138" t="n">
        <v>46288.0</v>
      </c>
      <c r="N6" s="134" t="s">
        <v>276</v>
      </c>
      <c r="O6" s="131"/>
      <c r="P6" s="131"/>
      <c r="Q6" s="131"/>
      <c r="R6" s="131"/>
      <c r="S6" s="131"/>
      <c r="T6" s="131"/>
      <c r="U6" s="131"/>
      <c r="V6" s="131"/>
      <c r="W6" s="131"/>
      <c r="X6" s="131"/>
      <c r="Y6" s="131"/>
      <c r="Z6" s="131"/>
    </row>
    <row r="7" ht="90.0" customHeight="true">
      <c r="A7" s="134" t="s">
        <v>1356</v>
      </c>
      <c r="B7" s="135" t="s">
        <v>1357</v>
      </c>
      <c r="C7" s="135" t="s">
        <v>1358</v>
      </c>
      <c r="D7" s="136" t="s">
        <v>1345</v>
      </c>
      <c r="E7" s="135" t="s">
        <v>1359</v>
      </c>
      <c r="F7" s="135" t="s">
        <v>1360</v>
      </c>
      <c r="G7" s="135" t="s">
        <v>1361</v>
      </c>
      <c r="H7" s="135" t="s">
        <v>1362</v>
      </c>
      <c r="I7" s="135"/>
      <c r="J7" s="135"/>
      <c r="K7" s="139" t="s">
        <v>227</v>
      </c>
      <c r="L7" s="134" t="s">
        <v>1341</v>
      </c>
      <c r="M7" s="138" t="n">
        <v>46288.0</v>
      </c>
      <c r="N7" s="134" t="s">
        <v>1163</v>
      </c>
      <c r="O7" s="131"/>
      <c r="P7" s="131"/>
      <c r="Q7" s="131"/>
      <c r="R7" s="131"/>
      <c r="S7" s="131"/>
      <c r="T7" s="131"/>
      <c r="U7" s="131"/>
      <c r="V7" s="131"/>
      <c r="W7" s="131"/>
      <c r="X7" s="131"/>
      <c r="Y7" s="131"/>
      <c r="Z7" s="131"/>
    </row>
    <row r="8" ht="90.0" customHeight="true">
      <c r="A8" s="134" t="s">
        <v>1363</v>
      </c>
      <c r="B8" s="135" t="s">
        <v>1364</v>
      </c>
      <c r="C8" s="135" t="s">
        <v>1365</v>
      </c>
      <c r="D8" s="136" t="s">
        <v>1366</v>
      </c>
      <c r="E8" s="135" t="s">
        <v>1367</v>
      </c>
      <c r="F8" s="135" t="s">
        <v>1368</v>
      </c>
      <c r="G8" s="135" t="s">
        <v>1369</v>
      </c>
      <c r="H8" s="135" t="s">
        <v>1370</v>
      </c>
      <c r="I8" s="135"/>
      <c r="J8" s="135"/>
      <c r="K8" s="140" t="s">
        <v>229</v>
      </c>
      <c r="L8" s="134" t="s">
        <v>1341</v>
      </c>
      <c r="M8" s="138" t="n">
        <v>46288.0</v>
      </c>
      <c r="N8" s="134" t="s">
        <v>314</v>
      </c>
      <c r="O8" s="131"/>
      <c r="P8" s="131"/>
      <c r="Q8" s="131"/>
      <c r="R8" s="131"/>
      <c r="S8" s="131"/>
      <c r="T8" s="131"/>
      <c r="U8" s="131"/>
      <c r="V8" s="131"/>
      <c r="W8" s="131"/>
      <c r="X8" s="131"/>
      <c r="Y8" s="131"/>
      <c r="Z8" s="131"/>
    </row>
    <row r="9" ht="90.0" customHeight="true">
      <c r="A9" s="134" t="s">
        <v>1371</v>
      </c>
      <c r="B9" s="135" t="s">
        <v>1372</v>
      </c>
      <c r="C9" s="135" t="s">
        <v>1373</v>
      </c>
      <c r="D9" s="136" t="s">
        <v>1374</v>
      </c>
      <c r="E9" s="135" t="s">
        <v>1375</v>
      </c>
      <c r="F9" s="135" t="s">
        <v>1376</v>
      </c>
      <c r="G9" s="135" t="s">
        <v>1377</v>
      </c>
      <c r="H9" s="135" t="s">
        <v>313</v>
      </c>
      <c r="I9" s="135"/>
      <c r="J9" s="135"/>
      <c r="K9" s="140" t="s">
        <v>229</v>
      </c>
      <c r="L9" s="134" t="s">
        <v>1341</v>
      </c>
      <c r="M9" s="138" t="n">
        <v>46288.0</v>
      </c>
      <c r="N9" s="134" t="s">
        <v>314</v>
      </c>
      <c r="O9" s="131"/>
      <c r="P9" s="131"/>
      <c r="Q9" s="131"/>
      <c r="R9" s="131"/>
      <c r="S9" s="131"/>
      <c r="T9" s="131"/>
      <c r="U9" s="131"/>
      <c r="V9" s="131"/>
      <c r="W9" s="131"/>
      <c r="X9" s="131"/>
      <c r="Y9" s="131"/>
      <c r="Z9" s="131"/>
    </row>
    <row r="10" ht="90.0" customHeight="true">
      <c r="A10" s="134" t="s">
        <v>1378</v>
      </c>
      <c r="B10" s="135" t="s">
        <v>1379</v>
      </c>
      <c r="C10" s="135" t="s">
        <v>1380</v>
      </c>
      <c r="D10" s="136" t="s">
        <v>1345</v>
      </c>
      <c r="E10" s="135" t="s">
        <v>1381</v>
      </c>
      <c r="F10" s="135" t="s">
        <v>1382</v>
      </c>
      <c r="G10" s="135" t="s">
        <v>1383</v>
      </c>
      <c r="H10" s="135" t="s">
        <v>1384</v>
      </c>
      <c r="I10" s="135"/>
      <c r="J10" s="135"/>
      <c r="K10" s="137" t="s">
        <v>225</v>
      </c>
      <c r="L10" s="134" t="s">
        <v>1341</v>
      </c>
      <c r="M10" s="138" t="n">
        <v>46288.0</v>
      </c>
      <c r="N10" s="134" t="s">
        <v>345</v>
      </c>
      <c r="O10" s="131"/>
      <c r="P10" s="131"/>
      <c r="Q10" s="131"/>
      <c r="R10" s="131"/>
      <c r="S10" s="131"/>
      <c r="T10" s="131"/>
      <c r="U10" s="131"/>
      <c r="V10" s="131"/>
      <c r="W10" s="131"/>
      <c r="X10" s="131"/>
      <c r="Y10" s="131"/>
      <c r="Z10" s="131"/>
    </row>
    <row r="11" ht="90.0" customHeight="true">
      <c r="A11" s="134" t="s">
        <v>1385</v>
      </c>
      <c r="B11" s="135" t="s">
        <v>1386</v>
      </c>
      <c r="C11" s="135" t="s">
        <v>1387</v>
      </c>
      <c r="D11" s="136" t="s">
        <v>1388</v>
      </c>
      <c r="E11" s="135" t="s">
        <v>1389</v>
      </c>
      <c r="F11" s="135" t="s">
        <v>1390</v>
      </c>
      <c r="G11" s="135" t="s">
        <v>1391</v>
      </c>
      <c r="H11" s="135" t="s">
        <v>1392</v>
      </c>
      <c r="I11" s="135"/>
      <c r="J11" s="135"/>
      <c r="K11" s="139" t="s">
        <v>227</v>
      </c>
      <c r="L11" s="134" t="s">
        <v>1341</v>
      </c>
      <c r="M11" s="138" t="n">
        <v>46288.0</v>
      </c>
      <c r="N11" s="134" t="s">
        <v>276</v>
      </c>
      <c r="O11" s="131"/>
      <c r="P11" s="131"/>
      <c r="Q11" s="131"/>
      <c r="R11" s="131"/>
      <c r="S11" s="131"/>
      <c r="T11" s="131"/>
      <c r="U11" s="131"/>
      <c r="V11" s="131"/>
      <c r="W11" s="131"/>
      <c r="X11" s="131"/>
      <c r="Y11" s="131"/>
      <c r="Z11" s="131"/>
    </row>
    <row r="12" ht="21.75" customHeight="true">
      <c r="A12" s="133" t="s">
        <v>1393</v>
      </c>
      <c r="B12" s="129"/>
      <c r="C12" s="129"/>
      <c r="D12" s="129"/>
      <c r="E12" s="129"/>
      <c r="F12" s="129"/>
      <c r="G12" s="129"/>
      <c r="H12" s="129"/>
      <c r="I12" s="129"/>
      <c r="J12" s="129"/>
      <c r="K12" s="129"/>
      <c r="L12" s="129"/>
      <c r="M12" s="129"/>
      <c r="N12" s="130"/>
      <c r="O12" s="131"/>
      <c r="P12" s="131"/>
      <c r="Q12" s="131"/>
      <c r="R12" s="131"/>
      <c r="S12" s="131"/>
      <c r="T12" s="131"/>
      <c r="U12" s="131"/>
      <c r="V12" s="131"/>
      <c r="W12" s="131"/>
      <c r="X12" s="131"/>
      <c r="Y12" s="131"/>
      <c r="Z12" s="131"/>
    </row>
    <row r="13" ht="90.0" customHeight="true">
      <c r="A13" s="134" t="s">
        <v>1394</v>
      </c>
      <c r="B13" s="135" t="s">
        <v>1395</v>
      </c>
      <c r="C13" s="135" t="s">
        <v>1396</v>
      </c>
      <c r="D13" s="136" t="s">
        <v>1397</v>
      </c>
      <c r="E13" s="135" t="s">
        <v>1398</v>
      </c>
      <c r="F13" s="141" t="s">
        <v>1399</v>
      </c>
      <c r="G13" s="135" t="s">
        <v>1400</v>
      </c>
      <c r="H13" s="135" t="s">
        <v>1401</v>
      </c>
      <c r="I13" s="135"/>
      <c r="J13" s="135"/>
      <c r="K13" s="137" t="s">
        <v>225</v>
      </c>
      <c r="L13" s="134" t="s">
        <v>1341</v>
      </c>
      <c r="M13" s="138" t="n">
        <v>46288.0</v>
      </c>
      <c r="N13" s="134" t="s">
        <v>276</v>
      </c>
      <c r="O13" s="131"/>
      <c r="P13" s="131"/>
      <c r="Q13" s="131"/>
      <c r="R13" s="131"/>
      <c r="S13" s="131"/>
      <c r="T13" s="131"/>
      <c r="U13" s="131"/>
      <c r="V13" s="131"/>
      <c r="W13" s="131"/>
      <c r="X13" s="131"/>
      <c r="Y13" s="131"/>
      <c r="Z13" s="131"/>
    </row>
    <row r="14" ht="90.0" customHeight="true">
      <c r="A14" s="134" t="s">
        <v>1402</v>
      </c>
      <c r="B14" s="135" t="s">
        <v>1403</v>
      </c>
      <c r="C14" s="135" t="s">
        <v>1404</v>
      </c>
      <c r="D14" s="136" t="s">
        <v>1397</v>
      </c>
      <c r="E14" s="135" t="s">
        <v>1405</v>
      </c>
      <c r="F14" s="135" t="s">
        <v>1406</v>
      </c>
      <c r="G14" s="135" t="s">
        <v>1407</v>
      </c>
      <c r="H14" s="135" t="s">
        <v>1408</v>
      </c>
      <c r="I14" s="135"/>
      <c r="J14" s="135"/>
      <c r="K14" s="137" t="s">
        <v>225</v>
      </c>
      <c r="L14" s="134" t="s">
        <v>1341</v>
      </c>
      <c r="M14" s="138" t="n">
        <v>46288.0</v>
      </c>
      <c r="N14" s="134" t="s">
        <v>337</v>
      </c>
      <c r="O14" s="131"/>
      <c r="P14" s="131"/>
      <c r="Q14" s="131"/>
      <c r="R14" s="131"/>
      <c r="S14" s="131"/>
      <c r="T14" s="131"/>
      <c r="U14" s="131"/>
      <c r="V14" s="131"/>
      <c r="W14" s="131"/>
      <c r="X14" s="131"/>
      <c r="Y14" s="131"/>
      <c r="Z14" s="131"/>
    </row>
    <row r="15" ht="90.0" customHeight="true">
      <c r="A15" s="134" t="s">
        <v>1409</v>
      </c>
      <c r="B15" s="135" t="s">
        <v>1410</v>
      </c>
      <c r="C15" s="135" t="s">
        <v>1411</v>
      </c>
      <c r="D15" s="136" t="s">
        <v>1397</v>
      </c>
      <c r="E15" s="135" t="s">
        <v>1412</v>
      </c>
      <c r="F15" s="135" t="s">
        <v>1413</v>
      </c>
      <c r="G15" s="135" t="s">
        <v>1414</v>
      </c>
      <c r="H15" s="135" t="s">
        <v>1415</v>
      </c>
      <c r="I15" s="135"/>
      <c r="J15" s="135"/>
      <c r="K15" s="139" t="s">
        <v>227</v>
      </c>
      <c r="L15" s="134" t="s">
        <v>1341</v>
      </c>
      <c r="M15" s="138" t="n">
        <v>46288.0</v>
      </c>
      <c r="N15" s="134" t="s">
        <v>314</v>
      </c>
      <c r="O15" s="131"/>
      <c r="P15" s="131"/>
      <c r="Q15" s="131"/>
      <c r="R15" s="131"/>
      <c r="S15" s="131"/>
      <c r="T15" s="131"/>
      <c r="U15" s="131"/>
      <c r="V15" s="131"/>
      <c r="W15" s="131"/>
      <c r="X15" s="131"/>
      <c r="Y15" s="131"/>
      <c r="Z15" s="131"/>
    </row>
    <row r="16" ht="90.0" customHeight="true">
      <c r="A16" s="134" t="s">
        <v>1416</v>
      </c>
      <c r="B16" s="135" t="s">
        <v>1417</v>
      </c>
      <c r="C16" s="135" t="s">
        <v>1418</v>
      </c>
      <c r="D16" s="136" t="s">
        <v>1397</v>
      </c>
      <c r="E16" s="135" t="s">
        <v>1419</v>
      </c>
      <c r="F16" s="135" t="s">
        <v>1420</v>
      </c>
      <c r="G16" s="135" t="s">
        <v>1421</v>
      </c>
      <c r="H16" s="135" t="s">
        <v>1422</v>
      </c>
      <c r="I16" s="135"/>
      <c r="J16" s="135"/>
      <c r="K16" s="137" t="s">
        <v>225</v>
      </c>
      <c r="L16" s="134" t="s">
        <v>1341</v>
      </c>
      <c r="M16" s="138" t="n">
        <v>46288.0</v>
      </c>
      <c r="N16" s="134" t="s">
        <v>276</v>
      </c>
      <c r="O16" s="131"/>
      <c r="P16" s="131"/>
      <c r="Q16" s="131"/>
      <c r="R16" s="131"/>
      <c r="S16" s="131"/>
      <c r="T16" s="131"/>
      <c r="U16" s="131"/>
      <c r="V16" s="131"/>
      <c r="W16" s="131"/>
      <c r="X16" s="131"/>
      <c r="Y16" s="131"/>
      <c r="Z16" s="131"/>
    </row>
    <row r="17" ht="90.0" customHeight="true">
      <c r="A17" s="134" t="s">
        <v>1423</v>
      </c>
      <c r="B17" s="135" t="s">
        <v>1424</v>
      </c>
      <c r="C17" s="135" t="s">
        <v>1425</v>
      </c>
      <c r="D17" s="136" t="s">
        <v>1397</v>
      </c>
      <c r="E17" s="135" t="s">
        <v>1426</v>
      </c>
      <c r="F17" s="135" t="s">
        <v>1427</v>
      </c>
      <c r="G17" s="135" t="s">
        <v>1428</v>
      </c>
      <c r="H17" s="135" t="s">
        <v>1429</v>
      </c>
      <c r="I17" s="135"/>
      <c r="J17" s="135"/>
      <c r="K17" s="139" t="s">
        <v>227</v>
      </c>
      <c r="L17" s="134" t="s">
        <v>1341</v>
      </c>
      <c r="M17" s="138" t="n">
        <v>46288.0</v>
      </c>
      <c r="N17" s="134" t="s">
        <v>276</v>
      </c>
      <c r="O17" s="131"/>
      <c r="P17" s="131"/>
      <c r="Q17" s="131"/>
      <c r="R17" s="131"/>
      <c r="S17" s="131"/>
      <c r="T17" s="131"/>
      <c r="U17" s="131"/>
      <c r="V17" s="131"/>
      <c r="W17" s="131"/>
      <c r="X17" s="131"/>
      <c r="Y17" s="131"/>
      <c r="Z17" s="131"/>
    </row>
    <row r="18" ht="90.0" customHeight="true">
      <c r="A18" s="134" t="s">
        <v>1430</v>
      </c>
      <c r="B18" s="135" t="s">
        <v>1431</v>
      </c>
      <c r="C18" s="135" t="s">
        <v>1432</v>
      </c>
      <c r="D18" s="136" t="s">
        <v>1397</v>
      </c>
      <c r="E18" s="135" t="s">
        <v>1433</v>
      </c>
      <c r="F18" s="135" t="s">
        <v>1434</v>
      </c>
      <c r="G18" s="135" t="s">
        <v>1435</v>
      </c>
      <c r="H18" s="135" t="s">
        <v>1436</v>
      </c>
      <c r="I18" s="135"/>
      <c r="J18" s="135"/>
      <c r="K18" s="139" t="s">
        <v>227</v>
      </c>
      <c r="L18" s="134" t="s">
        <v>1341</v>
      </c>
      <c r="M18" s="138" t="n">
        <v>46288.0</v>
      </c>
      <c r="N18" s="134" t="s">
        <v>276</v>
      </c>
      <c r="O18" s="131"/>
      <c r="P18" s="131"/>
      <c r="Q18" s="131"/>
      <c r="R18" s="131"/>
      <c r="S18" s="131"/>
      <c r="T18" s="131"/>
      <c r="U18" s="131"/>
      <c r="V18" s="131"/>
      <c r="W18" s="131"/>
      <c r="X18" s="131"/>
      <c r="Y18" s="131"/>
      <c r="Z18" s="131"/>
    </row>
    <row r="19" ht="90.0" customHeight="true">
      <c r="A19" s="134" t="s">
        <v>1437</v>
      </c>
      <c r="B19" s="135" t="s">
        <v>1438</v>
      </c>
      <c r="C19" s="135" t="s">
        <v>1439</v>
      </c>
      <c r="D19" s="136" t="s">
        <v>1397</v>
      </c>
      <c r="E19" s="135" t="s">
        <v>1440</v>
      </c>
      <c r="F19" s="135" t="s">
        <v>1441</v>
      </c>
      <c r="G19" s="135" t="s">
        <v>1442</v>
      </c>
      <c r="H19" s="135" t="s">
        <v>1443</v>
      </c>
      <c r="I19" s="135"/>
      <c r="J19" s="135"/>
      <c r="K19" s="137" t="s">
        <v>225</v>
      </c>
      <c r="L19" s="134" t="s">
        <v>1341</v>
      </c>
      <c r="M19" s="138" t="n">
        <v>46288.0</v>
      </c>
      <c r="N19" s="134" t="s">
        <v>337</v>
      </c>
      <c r="O19" s="131"/>
      <c r="P19" s="131"/>
      <c r="Q19" s="131"/>
      <c r="R19" s="131"/>
      <c r="S19" s="131"/>
      <c r="T19" s="131"/>
      <c r="U19" s="131"/>
      <c r="V19" s="131"/>
      <c r="W19" s="131"/>
      <c r="X19" s="131"/>
      <c r="Y19" s="131"/>
      <c r="Z19" s="131"/>
    </row>
    <row r="20" ht="90.0" customHeight="true">
      <c r="A20" s="134" t="s">
        <v>1444</v>
      </c>
      <c r="B20" s="135" t="s">
        <v>1445</v>
      </c>
      <c r="C20" s="135" t="s">
        <v>1446</v>
      </c>
      <c r="D20" s="136" t="s">
        <v>1397</v>
      </c>
      <c r="E20" s="135" t="s">
        <v>1447</v>
      </c>
      <c r="F20" s="135" t="s">
        <v>1448</v>
      </c>
      <c r="G20" s="135" t="s">
        <v>1449</v>
      </c>
      <c r="H20" s="135" t="s">
        <v>1450</v>
      </c>
      <c r="I20" s="135"/>
      <c r="J20" s="135"/>
      <c r="K20" s="139" t="s">
        <v>227</v>
      </c>
      <c r="L20" s="134" t="s">
        <v>1341</v>
      </c>
      <c r="M20" s="138" t="n">
        <v>46288.0</v>
      </c>
      <c r="N20" s="134" t="s">
        <v>337</v>
      </c>
      <c r="O20" s="131"/>
      <c r="P20" s="131"/>
      <c r="Q20" s="131"/>
      <c r="R20" s="131"/>
      <c r="S20" s="131"/>
      <c r="T20" s="131"/>
      <c r="U20" s="131"/>
      <c r="V20" s="131"/>
      <c r="W20" s="131"/>
      <c r="X20" s="131"/>
      <c r="Y20" s="131"/>
      <c r="Z20" s="131"/>
    </row>
    <row r="21" ht="90.0" customHeight="true">
      <c r="A21" s="134" t="s">
        <v>1451</v>
      </c>
      <c r="B21" s="135" t="s">
        <v>1452</v>
      </c>
      <c r="C21" s="135" t="s">
        <v>1453</v>
      </c>
      <c r="D21" s="136" t="s">
        <v>1397</v>
      </c>
      <c r="E21" s="135" t="s">
        <v>1454</v>
      </c>
      <c r="F21" s="135" t="s">
        <v>1455</v>
      </c>
      <c r="G21" s="135" t="s">
        <v>1456</v>
      </c>
      <c r="H21" s="135" t="s">
        <v>1457</v>
      </c>
      <c r="I21" s="135"/>
      <c r="J21" s="135"/>
      <c r="K21" s="139" t="s">
        <v>227</v>
      </c>
      <c r="L21" s="134" t="s">
        <v>1341</v>
      </c>
      <c r="M21" s="138" t="n">
        <v>46288.0</v>
      </c>
      <c r="N21" s="134" t="s">
        <v>337</v>
      </c>
      <c r="O21" s="131"/>
      <c r="P21" s="131"/>
      <c r="Q21" s="131"/>
      <c r="R21" s="131"/>
      <c r="S21" s="131"/>
      <c r="T21" s="131"/>
      <c r="U21" s="131"/>
      <c r="V21" s="131"/>
      <c r="W21" s="131"/>
      <c r="X21" s="131"/>
      <c r="Y21" s="131"/>
      <c r="Z21" s="131"/>
    </row>
    <row r="22" ht="90.0" customHeight="true">
      <c r="A22" s="134" t="s">
        <v>1458</v>
      </c>
      <c r="B22" s="135" t="s">
        <v>1459</v>
      </c>
      <c r="C22" s="135" t="s">
        <v>1460</v>
      </c>
      <c r="D22" s="136" t="s">
        <v>1461</v>
      </c>
      <c r="E22" s="135" t="s">
        <v>1462</v>
      </c>
      <c r="F22" s="135" t="s">
        <v>1463</v>
      </c>
      <c r="G22" s="135" t="s">
        <v>1464</v>
      </c>
      <c r="H22" s="135" t="s">
        <v>1465</v>
      </c>
      <c r="I22" s="135"/>
      <c r="J22" s="135"/>
      <c r="K22" s="139" t="s">
        <v>227</v>
      </c>
      <c r="L22" s="134" t="s">
        <v>1341</v>
      </c>
      <c r="M22" s="138" t="n">
        <v>46288.0</v>
      </c>
      <c r="N22" s="134" t="s">
        <v>427</v>
      </c>
      <c r="O22" s="131"/>
      <c r="P22" s="131"/>
      <c r="Q22" s="131"/>
      <c r="R22" s="131"/>
      <c r="S22" s="131"/>
      <c r="T22" s="131"/>
      <c r="U22" s="131"/>
      <c r="V22" s="131"/>
      <c r="W22" s="131"/>
      <c r="X22" s="131"/>
      <c r="Y22" s="131"/>
      <c r="Z22" s="131"/>
    </row>
    <row r="23" ht="90.0" customHeight="true">
      <c r="A23" s="134" t="s">
        <v>1466</v>
      </c>
      <c r="B23" s="135" t="s">
        <v>1467</v>
      </c>
      <c r="C23" s="135" t="s">
        <v>1468</v>
      </c>
      <c r="D23" s="136" t="s">
        <v>1397</v>
      </c>
      <c r="E23" s="135" t="s">
        <v>1469</v>
      </c>
      <c r="F23" s="135" t="s">
        <v>1470</v>
      </c>
      <c r="G23" s="135" t="s">
        <v>1471</v>
      </c>
      <c r="H23" s="135" t="s">
        <v>1472</v>
      </c>
      <c r="I23" s="135"/>
      <c r="J23" s="135"/>
      <c r="K23" s="137" t="s">
        <v>225</v>
      </c>
      <c r="L23" s="134" t="s">
        <v>1341</v>
      </c>
      <c r="M23" s="138" t="n">
        <v>46288.0</v>
      </c>
      <c r="N23" s="134" t="s">
        <v>276</v>
      </c>
      <c r="O23" s="131"/>
      <c r="P23" s="131"/>
      <c r="Q23" s="131"/>
      <c r="R23" s="131"/>
      <c r="S23" s="131"/>
      <c r="T23" s="131"/>
      <c r="U23" s="131"/>
      <c r="V23" s="131"/>
      <c r="W23" s="131"/>
      <c r="X23" s="131"/>
      <c r="Y23" s="131"/>
      <c r="Z23" s="131"/>
    </row>
    <row r="24" ht="90.0" customHeight="true">
      <c r="A24" s="134" t="s">
        <v>1473</v>
      </c>
      <c r="B24" s="135" t="s">
        <v>1474</v>
      </c>
      <c r="C24" s="135" t="s">
        <v>1475</v>
      </c>
      <c r="D24" s="136" t="s">
        <v>1397</v>
      </c>
      <c r="E24" s="135" t="s">
        <v>409</v>
      </c>
      <c r="F24" s="135" t="s">
        <v>410</v>
      </c>
      <c r="G24" s="135" t="s">
        <v>1476</v>
      </c>
      <c r="H24" s="135" t="s">
        <v>1476</v>
      </c>
      <c r="I24" s="135"/>
      <c r="J24" s="135"/>
      <c r="K24" s="139" t="s">
        <v>227</v>
      </c>
      <c r="L24" s="134" t="s">
        <v>1341</v>
      </c>
      <c r="M24" s="138" t="n">
        <v>46288.0</v>
      </c>
      <c r="N24" s="134" t="s">
        <v>276</v>
      </c>
      <c r="O24" s="131"/>
      <c r="P24" s="131"/>
      <c r="Q24" s="131"/>
      <c r="R24" s="131"/>
      <c r="S24" s="131"/>
      <c r="T24" s="131"/>
      <c r="U24" s="131"/>
      <c r="V24" s="131"/>
      <c r="W24" s="131"/>
      <c r="X24" s="131"/>
      <c r="Y24" s="131"/>
      <c r="Z24" s="131"/>
    </row>
    <row r="25" ht="21.75" customHeight="true">
      <c r="A25" s="133" t="s">
        <v>1477</v>
      </c>
      <c r="B25" s="129"/>
      <c r="C25" s="129"/>
      <c r="D25" s="129"/>
      <c r="E25" s="129"/>
      <c r="F25" s="129"/>
      <c r="G25" s="129"/>
      <c r="H25" s="129"/>
      <c r="I25" s="129"/>
      <c r="J25" s="129"/>
      <c r="K25" s="129"/>
      <c r="L25" s="129"/>
      <c r="M25" s="129"/>
      <c r="N25" s="130"/>
      <c r="O25" s="131"/>
      <c r="P25" s="131"/>
      <c r="Q25" s="131"/>
      <c r="R25" s="131"/>
      <c r="S25" s="131"/>
      <c r="T25" s="131"/>
      <c r="U25" s="131"/>
      <c r="V25" s="131"/>
      <c r="W25" s="131"/>
      <c r="X25" s="131"/>
      <c r="Y25" s="131"/>
      <c r="Z25" s="131"/>
    </row>
    <row r="26" ht="90.0" customHeight="true">
      <c r="A26" s="134" t="s">
        <v>1478</v>
      </c>
      <c r="B26" s="135" t="s">
        <v>1479</v>
      </c>
      <c r="C26" s="135" t="s">
        <v>1480</v>
      </c>
      <c r="D26" s="136" t="s">
        <v>1481</v>
      </c>
      <c r="E26" s="135" t="s">
        <v>1482</v>
      </c>
      <c r="F26" s="135" t="s">
        <v>1483</v>
      </c>
      <c r="G26" s="135" t="s">
        <v>1484</v>
      </c>
      <c r="H26" s="135" t="s">
        <v>1485</v>
      </c>
      <c r="I26" s="135"/>
      <c r="J26" s="135"/>
      <c r="K26" s="137" t="s">
        <v>225</v>
      </c>
      <c r="L26" s="134" t="s">
        <v>1341</v>
      </c>
      <c r="M26" s="138" t="n">
        <v>46288.0</v>
      </c>
      <c r="N26" s="134" t="s">
        <v>276</v>
      </c>
      <c r="O26" s="131"/>
      <c r="P26" s="131"/>
      <c r="Q26" s="131"/>
      <c r="R26" s="131"/>
      <c r="S26" s="131"/>
      <c r="T26" s="131"/>
      <c r="U26" s="131"/>
      <c r="V26" s="131"/>
      <c r="W26" s="131"/>
      <c r="X26" s="131"/>
      <c r="Y26" s="131"/>
      <c r="Z26" s="131"/>
    </row>
    <row r="27" ht="90.0" customHeight="true">
      <c r="A27" s="134" t="s">
        <v>1486</v>
      </c>
      <c r="B27" s="135" t="s">
        <v>1487</v>
      </c>
      <c r="C27" s="135" t="s">
        <v>1488</v>
      </c>
      <c r="D27" s="136" t="s">
        <v>1489</v>
      </c>
      <c r="E27" s="135" t="s">
        <v>1490</v>
      </c>
      <c r="F27" s="135" t="s">
        <v>1491</v>
      </c>
      <c r="G27" s="135" t="s">
        <v>1492</v>
      </c>
      <c r="H27" s="135" t="s">
        <v>1493</v>
      </c>
      <c r="I27" s="135"/>
      <c r="J27" s="135"/>
      <c r="K27" s="137" t="s">
        <v>225</v>
      </c>
      <c r="L27" s="134" t="s">
        <v>1341</v>
      </c>
      <c r="M27" s="138" t="n">
        <v>46288.0</v>
      </c>
      <c r="N27" s="134" t="s">
        <v>276</v>
      </c>
      <c r="O27" s="131"/>
      <c r="P27" s="131"/>
      <c r="Q27" s="131"/>
      <c r="R27" s="131"/>
      <c r="S27" s="131"/>
      <c r="T27" s="131"/>
      <c r="U27" s="131"/>
      <c r="V27" s="131"/>
      <c r="W27" s="131"/>
      <c r="X27" s="131"/>
      <c r="Y27" s="131"/>
      <c r="Z27" s="131"/>
    </row>
    <row r="28" ht="90.0" customHeight="true">
      <c r="A28" s="134" t="s">
        <v>1494</v>
      </c>
      <c r="B28" s="135" t="s">
        <v>1495</v>
      </c>
      <c r="C28" s="135" t="s">
        <v>1496</v>
      </c>
      <c r="D28" s="136" t="s">
        <v>1489</v>
      </c>
      <c r="E28" s="135" t="s">
        <v>1497</v>
      </c>
      <c r="F28" s="135" t="s">
        <v>1498</v>
      </c>
      <c r="G28" s="135" t="s">
        <v>1499</v>
      </c>
      <c r="H28" s="135" t="s">
        <v>1500</v>
      </c>
      <c r="I28" s="135"/>
      <c r="J28" s="135"/>
      <c r="K28" s="139" t="s">
        <v>227</v>
      </c>
      <c r="L28" s="134" t="s">
        <v>1341</v>
      </c>
      <c r="M28" s="138" t="n">
        <v>46288.0</v>
      </c>
      <c r="N28" s="134" t="s">
        <v>276</v>
      </c>
      <c r="O28" s="131"/>
      <c r="P28" s="131"/>
      <c r="Q28" s="131"/>
      <c r="R28" s="131"/>
      <c r="S28" s="131"/>
      <c r="T28" s="131"/>
      <c r="U28" s="131"/>
      <c r="V28" s="131"/>
      <c r="W28" s="131"/>
      <c r="X28" s="131"/>
      <c r="Y28" s="131"/>
      <c r="Z28" s="131"/>
    </row>
    <row r="29" ht="90.0" customHeight="true">
      <c r="A29" s="134" t="s">
        <v>1501</v>
      </c>
      <c r="B29" s="135" t="s">
        <v>1502</v>
      </c>
      <c r="C29" s="135" t="s">
        <v>1503</v>
      </c>
      <c r="D29" s="136" t="s">
        <v>1489</v>
      </c>
      <c r="E29" s="135" t="s">
        <v>1504</v>
      </c>
      <c r="F29" s="135" t="s">
        <v>1505</v>
      </c>
      <c r="G29" s="135" t="s">
        <v>1506</v>
      </c>
      <c r="H29" s="135" t="s">
        <v>1507</v>
      </c>
      <c r="I29" s="135"/>
      <c r="J29" s="135"/>
      <c r="K29" s="137" t="s">
        <v>225</v>
      </c>
      <c r="L29" s="134" t="s">
        <v>1341</v>
      </c>
      <c r="M29" s="138" t="n">
        <v>46288.0</v>
      </c>
      <c r="N29" s="134" t="s">
        <v>276</v>
      </c>
      <c r="O29" s="131"/>
      <c r="P29" s="131"/>
      <c r="Q29" s="131"/>
      <c r="R29" s="131"/>
      <c r="S29" s="131"/>
      <c r="T29" s="131"/>
      <c r="U29" s="131"/>
      <c r="V29" s="131"/>
      <c r="W29" s="131"/>
      <c r="X29" s="131"/>
      <c r="Y29" s="131"/>
      <c r="Z29" s="131"/>
    </row>
    <row r="30" ht="90.0" customHeight="true">
      <c r="A30" s="134" t="s">
        <v>1508</v>
      </c>
      <c r="B30" s="135" t="s">
        <v>1509</v>
      </c>
      <c r="C30" s="135" t="s">
        <v>1510</v>
      </c>
      <c r="D30" s="136" t="s">
        <v>1489</v>
      </c>
      <c r="E30" s="135" t="s">
        <v>1511</v>
      </c>
      <c r="F30" s="135" t="s">
        <v>1512</v>
      </c>
      <c r="G30" s="135" t="s">
        <v>1513</v>
      </c>
      <c r="H30" s="135" t="s">
        <v>1514</v>
      </c>
      <c r="I30" s="135"/>
      <c r="J30" s="135"/>
      <c r="K30" s="139" t="s">
        <v>227</v>
      </c>
      <c r="L30" s="134" t="s">
        <v>1341</v>
      </c>
      <c r="M30" s="138" t="n">
        <v>46288.0</v>
      </c>
      <c r="N30" s="134" t="s">
        <v>276</v>
      </c>
      <c r="O30" s="131"/>
      <c r="P30" s="131"/>
      <c r="Q30" s="131"/>
      <c r="R30" s="131"/>
      <c r="S30" s="131"/>
      <c r="T30" s="131"/>
      <c r="U30" s="131"/>
      <c r="V30" s="131"/>
      <c r="W30" s="131"/>
      <c r="X30" s="131"/>
      <c r="Y30" s="131"/>
      <c r="Z30" s="131"/>
    </row>
    <row r="31" ht="90.0" customHeight="true">
      <c r="A31" s="134" t="s">
        <v>1515</v>
      </c>
      <c r="B31" s="135" t="s">
        <v>1516</v>
      </c>
      <c r="C31" s="135" t="s">
        <v>1517</v>
      </c>
      <c r="D31" s="136" t="s">
        <v>1489</v>
      </c>
      <c r="E31" s="135" t="s">
        <v>1518</v>
      </c>
      <c r="F31" s="135" t="s">
        <v>483</v>
      </c>
      <c r="G31" s="135" t="s">
        <v>1519</v>
      </c>
      <c r="H31" s="135" t="s">
        <v>1520</v>
      </c>
      <c r="I31" s="135"/>
      <c r="J31" s="135"/>
      <c r="K31" s="140" t="s">
        <v>229</v>
      </c>
      <c r="L31" s="134" t="s">
        <v>1341</v>
      </c>
      <c r="M31" s="138" t="n">
        <v>46288.0</v>
      </c>
      <c r="N31" s="134" t="s">
        <v>276</v>
      </c>
      <c r="O31" s="131"/>
      <c r="P31" s="131"/>
      <c r="Q31" s="131"/>
      <c r="R31" s="131"/>
      <c r="S31" s="131"/>
      <c r="T31" s="131"/>
      <c r="U31" s="131"/>
      <c r="V31" s="131"/>
      <c r="W31" s="131"/>
      <c r="X31" s="131"/>
      <c r="Y31" s="131"/>
      <c r="Z31" s="131"/>
    </row>
    <row r="32" ht="90.0" customHeight="true">
      <c r="A32" s="134" t="s">
        <v>1521</v>
      </c>
      <c r="B32" s="135" t="s">
        <v>1522</v>
      </c>
      <c r="C32" s="135" t="s">
        <v>1523</v>
      </c>
      <c r="D32" s="136" t="s">
        <v>1489</v>
      </c>
      <c r="E32" s="135" t="s">
        <v>1524</v>
      </c>
      <c r="F32" s="135" t="s">
        <v>1525</v>
      </c>
      <c r="G32" s="135" t="s">
        <v>1526</v>
      </c>
      <c r="H32" s="135" t="s">
        <v>1527</v>
      </c>
      <c r="I32" s="135"/>
      <c r="J32" s="135"/>
      <c r="K32" s="139" t="s">
        <v>227</v>
      </c>
      <c r="L32" s="134" t="s">
        <v>1341</v>
      </c>
      <c r="M32" s="138" t="n">
        <v>46288.0</v>
      </c>
      <c r="N32" s="134" t="s">
        <v>276</v>
      </c>
      <c r="O32" s="131"/>
      <c r="P32" s="131"/>
      <c r="Q32" s="131"/>
      <c r="R32" s="131"/>
      <c r="S32" s="131"/>
      <c r="T32" s="131"/>
      <c r="U32" s="131"/>
      <c r="V32" s="131"/>
      <c r="W32" s="131"/>
      <c r="X32" s="131"/>
      <c r="Y32" s="131"/>
      <c r="Z32" s="131"/>
    </row>
    <row r="33" ht="90.0" customHeight="true">
      <c r="A33" s="134" t="s">
        <v>1528</v>
      </c>
      <c r="B33" s="135" t="s">
        <v>1529</v>
      </c>
      <c r="C33" s="135" t="s">
        <v>1530</v>
      </c>
      <c r="D33" s="136" t="s">
        <v>1489</v>
      </c>
      <c r="E33" s="135" t="s">
        <v>1531</v>
      </c>
      <c r="F33" s="135" t="s">
        <v>359</v>
      </c>
      <c r="G33" s="135" t="s">
        <v>1532</v>
      </c>
      <c r="H33" s="135" t="s">
        <v>1533</v>
      </c>
      <c r="I33" s="135"/>
      <c r="J33" s="135"/>
      <c r="K33" s="140" t="s">
        <v>229</v>
      </c>
      <c r="L33" s="134" t="s">
        <v>1341</v>
      </c>
      <c r="M33" s="138" t="n">
        <v>46288.0</v>
      </c>
      <c r="N33" s="134" t="s">
        <v>314</v>
      </c>
      <c r="O33" s="131"/>
      <c r="P33" s="131"/>
      <c r="Q33" s="131"/>
      <c r="R33" s="131"/>
      <c r="S33" s="131"/>
      <c r="T33" s="131"/>
      <c r="U33" s="131"/>
      <c r="V33" s="131"/>
      <c r="W33" s="131"/>
      <c r="X33" s="131"/>
      <c r="Y33" s="131"/>
      <c r="Z33" s="131"/>
    </row>
    <row r="34" ht="21.75" customHeight="true">
      <c r="A34" s="133" t="s">
        <v>1534</v>
      </c>
      <c r="B34" s="129"/>
      <c r="C34" s="129"/>
      <c r="D34" s="129"/>
      <c r="E34" s="129"/>
      <c r="F34" s="129"/>
      <c r="G34" s="129"/>
      <c r="H34" s="129"/>
      <c r="I34" s="129"/>
      <c r="J34" s="129"/>
      <c r="K34" s="129"/>
      <c r="L34" s="129"/>
      <c r="M34" s="129"/>
      <c r="N34" s="130"/>
      <c r="O34" s="131"/>
      <c r="P34" s="131"/>
      <c r="Q34" s="131"/>
      <c r="R34" s="131"/>
      <c r="S34" s="131"/>
      <c r="T34" s="131"/>
      <c r="U34" s="131"/>
      <c r="V34" s="131"/>
      <c r="W34" s="131"/>
      <c r="X34" s="131"/>
      <c r="Y34" s="131"/>
      <c r="Z34" s="131"/>
    </row>
    <row r="35" ht="90.0" customHeight="true">
      <c r="A35" s="134" t="s">
        <v>1535</v>
      </c>
      <c r="B35" s="135" t="s">
        <v>1536</v>
      </c>
      <c r="C35" s="135" t="s">
        <v>1537</v>
      </c>
      <c r="D35" s="136" t="s">
        <v>1345</v>
      </c>
      <c r="E35" s="135" t="s">
        <v>1538</v>
      </c>
      <c r="F35" s="135" t="s">
        <v>1539</v>
      </c>
      <c r="G35" s="135" t="s">
        <v>1540</v>
      </c>
      <c r="H35" s="135" t="s">
        <v>1541</v>
      </c>
      <c r="I35" s="135"/>
      <c r="J35" s="135"/>
      <c r="K35" s="137" t="s">
        <v>225</v>
      </c>
      <c r="L35" s="134" t="s">
        <v>1341</v>
      </c>
      <c r="M35" s="138" t="n">
        <v>46288.0</v>
      </c>
      <c r="N35" s="134" t="s">
        <v>276</v>
      </c>
      <c r="O35" s="131"/>
      <c r="P35" s="131"/>
      <c r="Q35" s="131"/>
      <c r="R35" s="131"/>
      <c r="S35" s="131"/>
      <c r="T35" s="131"/>
      <c r="U35" s="131"/>
      <c r="V35" s="131"/>
      <c r="W35" s="131"/>
      <c r="X35" s="131"/>
      <c r="Y35" s="131"/>
      <c r="Z35" s="131"/>
    </row>
    <row r="36" ht="90.0" customHeight="true">
      <c r="A36" s="134" t="s">
        <v>1542</v>
      </c>
      <c r="B36" s="135" t="s">
        <v>1543</v>
      </c>
      <c r="C36" s="135" t="s">
        <v>1544</v>
      </c>
      <c r="D36" s="136" t="s">
        <v>1345</v>
      </c>
      <c r="E36" s="135" t="s">
        <v>1545</v>
      </c>
      <c r="F36" s="135" t="s">
        <v>1546</v>
      </c>
      <c r="G36" s="135" t="s">
        <v>1547</v>
      </c>
      <c r="H36" s="135" t="s">
        <v>1548</v>
      </c>
      <c r="I36" s="135"/>
      <c r="J36" s="135"/>
      <c r="K36" s="137" t="s">
        <v>225</v>
      </c>
      <c r="L36" s="134" t="s">
        <v>1341</v>
      </c>
      <c r="M36" s="138" t="n">
        <v>46288.0</v>
      </c>
      <c r="N36" s="134" t="s">
        <v>276</v>
      </c>
      <c r="O36" s="131"/>
      <c r="P36" s="131"/>
      <c r="Q36" s="131"/>
      <c r="R36" s="131"/>
      <c r="S36" s="131"/>
      <c r="T36" s="131"/>
      <c r="U36" s="131"/>
      <c r="V36" s="131"/>
      <c r="W36" s="131"/>
      <c r="X36" s="131"/>
      <c r="Y36" s="131"/>
      <c r="Z36" s="131"/>
    </row>
    <row r="37" ht="90.0" customHeight="true">
      <c r="A37" s="134" t="s">
        <v>1549</v>
      </c>
      <c r="B37" s="135" t="s">
        <v>1550</v>
      </c>
      <c r="C37" s="135" t="s">
        <v>1551</v>
      </c>
      <c r="D37" s="136" t="s">
        <v>1345</v>
      </c>
      <c r="E37" s="135" t="s">
        <v>1552</v>
      </c>
      <c r="F37" s="135" t="s">
        <v>1546</v>
      </c>
      <c r="G37" s="135" t="s">
        <v>1553</v>
      </c>
      <c r="H37" s="135" t="s">
        <v>1554</v>
      </c>
      <c r="I37" s="135"/>
      <c r="J37" s="135"/>
      <c r="K37" s="139" t="s">
        <v>227</v>
      </c>
      <c r="L37" s="134" t="s">
        <v>1341</v>
      </c>
      <c r="M37" s="138" t="n">
        <v>46288.0</v>
      </c>
      <c r="N37" s="134" t="s">
        <v>276</v>
      </c>
      <c r="O37" s="131"/>
      <c r="P37" s="131"/>
      <c r="Q37" s="131"/>
      <c r="R37" s="131"/>
      <c r="S37" s="131"/>
      <c r="T37" s="131"/>
      <c r="U37" s="131"/>
      <c r="V37" s="131"/>
      <c r="W37" s="131"/>
      <c r="X37" s="131"/>
      <c r="Y37" s="131"/>
      <c r="Z37" s="131"/>
    </row>
    <row r="38" ht="90.0" customHeight="true">
      <c r="A38" s="134" t="s">
        <v>1555</v>
      </c>
      <c r="B38" s="135" t="s">
        <v>1556</v>
      </c>
      <c r="C38" s="135" t="s">
        <v>1557</v>
      </c>
      <c r="D38" s="136" t="s">
        <v>1558</v>
      </c>
      <c r="E38" s="135" t="s">
        <v>1559</v>
      </c>
      <c r="F38" s="135" t="s">
        <v>1560</v>
      </c>
      <c r="G38" s="135" t="s">
        <v>1561</v>
      </c>
      <c r="H38" s="135" t="s">
        <v>1562</v>
      </c>
      <c r="I38" s="135"/>
      <c r="J38" s="135"/>
      <c r="K38" s="137" t="s">
        <v>225</v>
      </c>
      <c r="L38" s="134" t="s">
        <v>1341</v>
      </c>
      <c r="M38" s="138" t="n">
        <v>46288.0</v>
      </c>
      <c r="N38" s="134" t="s">
        <v>345</v>
      </c>
      <c r="O38" s="131"/>
      <c r="P38" s="131"/>
      <c r="Q38" s="131"/>
      <c r="R38" s="131"/>
      <c r="S38" s="131"/>
      <c r="T38" s="131"/>
      <c r="U38" s="131"/>
      <c r="V38" s="131"/>
      <c r="W38" s="131"/>
      <c r="X38" s="131"/>
      <c r="Y38" s="131"/>
      <c r="Z38" s="131"/>
    </row>
    <row r="39" ht="90.0" customHeight="true">
      <c r="A39" s="134" t="s">
        <v>1563</v>
      </c>
      <c r="B39" s="135" t="s">
        <v>1564</v>
      </c>
      <c r="C39" s="135" t="s">
        <v>1565</v>
      </c>
      <c r="D39" s="136" t="s">
        <v>1566</v>
      </c>
      <c r="E39" s="135" t="s">
        <v>1567</v>
      </c>
      <c r="F39" s="135" t="s">
        <v>1568</v>
      </c>
      <c r="G39" s="135" t="s">
        <v>1569</v>
      </c>
      <c r="H39" s="135" t="s">
        <v>1570</v>
      </c>
      <c r="I39" s="135"/>
      <c r="J39" s="135"/>
      <c r="K39" s="139" t="s">
        <v>227</v>
      </c>
      <c r="L39" s="134" t="s">
        <v>1341</v>
      </c>
      <c r="M39" s="138" t="n">
        <v>46288.0</v>
      </c>
      <c r="N39" s="134" t="s">
        <v>345</v>
      </c>
      <c r="O39" s="131"/>
      <c r="P39" s="131"/>
      <c r="Q39" s="131"/>
      <c r="R39" s="131"/>
      <c r="S39" s="131"/>
      <c r="T39" s="131"/>
      <c r="U39" s="131"/>
      <c r="V39" s="131"/>
      <c r="W39" s="131"/>
      <c r="X39" s="131"/>
      <c r="Y39" s="131"/>
      <c r="Z39" s="131"/>
    </row>
    <row r="40" ht="90.0" customHeight="true">
      <c r="A40" s="134" t="s">
        <v>1571</v>
      </c>
      <c r="B40" s="135" t="s">
        <v>1572</v>
      </c>
      <c r="C40" s="135" t="s">
        <v>1573</v>
      </c>
      <c r="D40" s="136" t="s">
        <v>1574</v>
      </c>
      <c r="E40" s="135" t="s">
        <v>1575</v>
      </c>
      <c r="F40" s="135" t="s">
        <v>1576</v>
      </c>
      <c r="G40" s="135" t="s">
        <v>1577</v>
      </c>
      <c r="H40" s="135" t="s">
        <v>1548</v>
      </c>
      <c r="I40" s="135"/>
      <c r="J40" s="135"/>
      <c r="K40" s="140" t="s">
        <v>229</v>
      </c>
      <c r="L40" s="134" t="s">
        <v>1341</v>
      </c>
      <c r="M40" s="138" t="n">
        <v>46288.0</v>
      </c>
      <c r="N40" s="134" t="s">
        <v>427</v>
      </c>
      <c r="O40" s="131"/>
      <c r="P40" s="131"/>
      <c r="Q40" s="131"/>
      <c r="R40" s="131"/>
      <c r="S40" s="131"/>
      <c r="T40" s="131"/>
      <c r="U40" s="131"/>
      <c r="V40" s="131"/>
      <c r="W40" s="131"/>
      <c r="X40" s="131"/>
      <c r="Y40" s="131"/>
      <c r="Z40" s="131"/>
    </row>
    <row r="41" ht="21.75" customHeight="true">
      <c r="A41" s="133" t="s">
        <v>1578</v>
      </c>
      <c r="B41" s="129"/>
      <c r="C41" s="129"/>
      <c r="D41" s="129"/>
      <c r="E41" s="129"/>
      <c r="F41" s="129"/>
      <c r="G41" s="129"/>
      <c r="H41" s="129"/>
      <c r="I41" s="129"/>
      <c r="J41" s="129"/>
      <c r="K41" s="129"/>
      <c r="L41" s="129"/>
      <c r="M41" s="129"/>
      <c r="N41" s="130"/>
      <c r="O41" s="131"/>
      <c r="P41" s="131"/>
      <c r="Q41" s="131"/>
      <c r="R41" s="131"/>
      <c r="S41" s="131"/>
      <c r="T41" s="131"/>
      <c r="U41" s="131"/>
      <c r="V41" s="131"/>
      <c r="W41" s="131"/>
      <c r="X41" s="131"/>
      <c r="Y41" s="131"/>
      <c r="Z41" s="131"/>
    </row>
    <row r="42" ht="90.0" customHeight="true">
      <c r="A42" s="134" t="s">
        <v>1579</v>
      </c>
      <c r="B42" s="135" t="s">
        <v>1580</v>
      </c>
      <c r="C42" s="135" t="s">
        <v>1581</v>
      </c>
      <c r="D42" s="136" t="s">
        <v>1582</v>
      </c>
      <c r="E42" s="135" t="s">
        <v>1583</v>
      </c>
      <c r="F42" s="135" t="s">
        <v>1584</v>
      </c>
      <c r="G42" s="135" t="s">
        <v>1585</v>
      </c>
      <c r="H42" s="135" t="s">
        <v>1586</v>
      </c>
      <c r="I42" s="135"/>
      <c r="J42" s="135"/>
      <c r="K42" s="139" t="s">
        <v>227</v>
      </c>
      <c r="L42" s="134" t="s">
        <v>1341</v>
      </c>
      <c r="M42" s="138" t="n">
        <v>46288.0</v>
      </c>
      <c r="N42" s="134" t="s">
        <v>276</v>
      </c>
      <c r="O42" s="131"/>
      <c r="P42" s="131"/>
      <c r="Q42" s="131"/>
      <c r="R42" s="131"/>
      <c r="S42" s="131"/>
      <c r="T42" s="131"/>
      <c r="U42" s="131"/>
      <c r="V42" s="131"/>
      <c r="W42" s="131"/>
      <c r="X42" s="131"/>
      <c r="Y42" s="131"/>
      <c r="Z42" s="131"/>
    </row>
    <row r="43" ht="90.0" customHeight="true">
      <c r="A43" s="134" t="s">
        <v>1587</v>
      </c>
      <c r="B43" s="135" t="s">
        <v>1588</v>
      </c>
      <c r="C43" s="135" t="s">
        <v>1589</v>
      </c>
      <c r="D43" s="136" t="s">
        <v>1590</v>
      </c>
      <c r="E43" s="135" t="s">
        <v>1591</v>
      </c>
      <c r="F43" s="135" t="s">
        <v>1592</v>
      </c>
      <c r="G43" s="135" t="s">
        <v>1593</v>
      </c>
      <c r="H43" s="135" t="s">
        <v>1594</v>
      </c>
      <c r="I43" s="135"/>
      <c r="J43" s="135"/>
      <c r="K43" s="139" t="s">
        <v>227</v>
      </c>
      <c r="L43" s="134" t="s">
        <v>1341</v>
      </c>
      <c r="M43" s="138" t="n">
        <v>46288.0</v>
      </c>
      <c r="N43" s="134" t="s">
        <v>276</v>
      </c>
      <c r="O43" s="131"/>
      <c r="P43" s="131"/>
      <c r="Q43" s="131"/>
      <c r="R43" s="131"/>
      <c r="S43" s="131"/>
      <c r="T43" s="131"/>
      <c r="U43" s="131"/>
      <c r="V43" s="131"/>
      <c r="W43" s="131"/>
      <c r="X43" s="131"/>
      <c r="Y43" s="131"/>
      <c r="Z43" s="131"/>
    </row>
    <row r="44" ht="90.0" customHeight="true">
      <c r="A44" s="134" t="s">
        <v>1595</v>
      </c>
      <c r="B44" s="135" t="s">
        <v>1596</v>
      </c>
      <c r="C44" s="135" t="s">
        <v>1597</v>
      </c>
      <c r="D44" s="136" t="s">
        <v>1582</v>
      </c>
      <c r="E44" s="135" t="s">
        <v>1598</v>
      </c>
      <c r="F44" s="135" t="s">
        <v>1599</v>
      </c>
      <c r="G44" s="135" t="s">
        <v>1600</v>
      </c>
      <c r="H44" s="135" t="s">
        <v>284</v>
      </c>
      <c r="I44" s="135"/>
      <c r="J44" s="135"/>
      <c r="K44" s="139" t="s">
        <v>227</v>
      </c>
      <c r="L44" s="134" t="s">
        <v>1341</v>
      </c>
      <c r="M44" s="138" t="n">
        <v>46288.0</v>
      </c>
      <c r="N44" s="134" t="s">
        <v>276</v>
      </c>
      <c r="O44" s="131"/>
      <c r="P44" s="131"/>
      <c r="Q44" s="131"/>
      <c r="R44" s="131"/>
      <c r="S44" s="131"/>
      <c r="T44" s="131"/>
      <c r="U44" s="131"/>
      <c r="V44" s="131"/>
      <c r="W44" s="131"/>
      <c r="X44" s="131"/>
      <c r="Y44" s="131"/>
      <c r="Z44" s="131"/>
    </row>
    <row r="45" ht="90.0" customHeight="true">
      <c r="A45" s="134" t="s">
        <v>1601</v>
      </c>
      <c r="B45" s="135" t="s">
        <v>1602</v>
      </c>
      <c r="C45" s="135" t="s">
        <v>1603</v>
      </c>
      <c r="D45" s="136" t="s">
        <v>1582</v>
      </c>
      <c r="E45" s="135" t="s">
        <v>1604</v>
      </c>
      <c r="F45" s="135" t="s">
        <v>1605</v>
      </c>
      <c r="G45" s="135" t="s">
        <v>1606</v>
      </c>
      <c r="H45" s="135" t="s">
        <v>284</v>
      </c>
      <c r="I45" s="135"/>
      <c r="J45" s="135"/>
      <c r="K45" s="140" t="s">
        <v>229</v>
      </c>
      <c r="L45" s="134" t="s">
        <v>1341</v>
      </c>
      <c r="M45" s="138" t="n">
        <v>46288.0</v>
      </c>
      <c r="N45" s="134" t="s">
        <v>314</v>
      </c>
      <c r="O45" s="131"/>
      <c r="P45" s="131"/>
      <c r="Q45" s="131"/>
      <c r="R45" s="131"/>
      <c r="S45" s="131"/>
      <c r="T45" s="131"/>
      <c r="U45" s="131"/>
      <c r="V45" s="131"/>
      <c r="W45" s="131"/>
      <c r="X45" s="131"/>
      <c r="Y45" s="131"/>
      <c r="Z45" s="131"/>
    </row>
    <row r="46" ht="90.0" customHeight="true">
      <c r="A46" s="134" t="s">
        <v>1607</v>
      </c>
      <c r="B46" s="135" t="s">
        <v>1608</v>
      </c>
      <c r="C46" s="135" t="s">
        <v>1609</v>
      </c>
      <c r="D46" s="136" t="s">
        <v>1610</v>
      </c>
      <c r="E46" s="135" t="s">
        <v>1611</v>
      </c>
      <c r="F46" s="135" t="s">
        <v>1612</v>
      </c>
      <c r="G46" s="135" t="s">
        <v>1613</v>
      </c>
      <c r="H46" s="135" t="s">
        <v>284</v>
      </c>
      <c r="I46" s="135"/>
      <c r="J46" s="135"/>
      <c r="K46" s="139" t="s">
        <v>227</v>
      </c>
      <c r="L46" s="134" t="s">
        <v>1341</v>
      </c>
      <c r="M46" s="138" t="n">
        <v>46288.0</v>
      </c>
      <c r="N46" s="134" t="s">
        <v>276</v>
      </c>
      <c r="O46" s="131"/>
      <c r="P46" s="131"/>
      <c r="Q46" s="131"/>
      <c r="R46" s="131"/>
      <c r="S46" s="131"/>
      <c r="T46" s="131"/>
      <c r="U46" s="131"/>
      <c r="V46" s="131"/>
      <c r="W46" s="131"/>
      <c r="X46" s="131"/>
      <c r="Y46" s="131"/>
      <c r="Z46" s="131"/>
    </row>
    <row r="47" ht="90.0" customHeight="true">
      <c r="A47" s="134" t="s">
        <v>1614</v>
      </c>
      <c r="B47" s="135" t="s">
        <v>1615</v>
      </c>
      <c r="C47" s="135" t="s">
        <v>1616</v>
      </c>
      <c r="D47" s="136" t="s">
        <v>1617</v>
      </c>
      <c r="E47" s="135" t="s">
        <v>1618</v>
      </c>
      <c r="F47" s="135" t="s">
        <v>1619</v>
      </c>
      <c r="G47" s="135" t="s">
        <v>1620</v>
      </c>
      <c r="H47" s="135" t="s">
        <v>1621</v>
      </c>
      <c r="I47" s="135"/>
      <c r="J47" s="135"/>
      <c r="K47" s="137" t="s">
        <v>225</v>
      </c>
      <c r="L47" s="134" t="s">
        <v>1341</v>
      </c>
      <c r="M47" s="138" t="n">
        <v>46288.0</v>
      </c>
      <c r="N47" s="134" t="s">
        <v>276</v>
      </c>
      <c r="O47" s="131"/>
      <c r="P47" s="131"/>
      <c r="Q47" s="131"/>
      <c r="R47" s="131"/>
      <c r="S47" s="131"/>
      <c r="T47" s="131"/>
      <c r="U47" s="131"/>
      <c r="V47" s="131"/>
      <c r="W47" s="131"/>
      <c r="X47" s="131"/>
      <c r="Y47" s="131"/>
      <c r="Z47" s="131"/>
    </row>
    <row r="48" ht="90.0" customHeight="true">
      <c r="A48" s="134" t="s">
        <v>1622</v>
      </c>
      <c r="B48" s="135" t="s">
        <v>1623</v>
      </c>
      <c r="C48" s="135" t="s">
        <v>1624</v>
      </c>
      <c r="D48" s="136" t="s">
        <v>1625</v>
      </c>
      <c r="E48" s="135" t="s">
        <v>1626</v>
      </c>
      <c r="F48" s="135" t="s">
        <v>1627</v>
      </c>
      <c r="G48" s="135" t="s">
        <v>1628</v>
      </c>
      <c r="H48" s="135" t="s">
        <v>1629</v>
      </c>
      <c r="I48" s="135"/>
      <c r="J48" s="135"/>
      <c r="K48" s="137" t="s">
        <v>225</v>
      </c>
      <c r="L48" s="134" t="s">
        <v>1341</v>
      </c>
      <c r="M48" s="138" t="n">
        <v>46288.0</v>
      </c>
      <c r="N48" s="134" t="s">
        <v>337</v>
      </c>
      <c r="O48" s="131"/>
      <c r="P48" s="131"/>
      <c r="Q48" s="131"/>
      <c r="R48" s="131"/>
      <c r="S48" s="131"/>
      <c r="T48" s="131"/>
      <c r="U48" s="131"/>
      <c r="V48" s="131"/>
      <c r="W48" s="131"/>
      <c r="X48" s="131"/>
      <c r="Y48" s="131"/>
      <c r="Z48" s="131"/>
    </row>
    <row r="49" ht="90.0" customHeight="true">
      <c r="A49" s="134" t="s">
        <v>1630</v>
      </c>
      <c r="B49" s="135" t="s">
        <v>1631</v>
      </c>
      <c r="C49" s="135" t="s">
        <v>1632</v>
      </c>
      <c r="D49" s="136" t="s">
        <v>1582</v>
      </c>
      <c r="E49" s="135" t="s">
        <v>1633</v>
      </c>
      <c r="F49" s="135" t="s">
        <v>1634</v>
      </c>
      <c r="G49" s="135" t="s">
        <v>1635</v>
      </c>
      <c r="H49" s="135" t="s">
        <v>1636</v>
      </c>
      <c r="I49" s="135"/>
      <c r="J49" s="135"/>
      <c r="K49" s="137" t="s">
        <v>225</v>
      </c>
      <c r="L49" s="134" t="s">
        <v>1341</v>
      </c>
      <c r="M49" s="138" t="n">
        <v>46288.0</v>
      </c>
      <c r="N49" s="134" t="s">
        <v>276</v>
      </c>
      <c r="O49" s="131"/>
      <c r="P49" s="131"/>
      <c r="Q49" s="131"/>
      <c r="R49" s="131"/>
      <c r="S49" s="131"/>
      <c r="T49" s="131"/>
      <c r="U49" s="131"/>
      <c r="V49" s="131"/>
      <c r="W49" s="131"/>
      <c r="X49" s="131"/>
      <c r="Y49" s="131"/>
      <c r="Z49" s="131"/>
    </row>
    <row r="50" ht="90.0" customHeight="true">
      <c r="A50" s="134" t="s">
        <v>1637</v>
      </c>
      <c r="B50" s="135" t="s">
        <v>1638</v>
      </c>
      <c r="C50" s="135" t="s">
        <v>1639</v>
      </c>
      <c r="D50" s="136" t="s">
        <v>1640</v>
      </c>
      <c r="E50" s="135" t="s">
        <v>1641</v>
      </c>
      <c r="F50" s="135" t="s">
        <v>1642</v>
      </c>
      <c r="G50" s="135" t="s">
        <v>1643</v>
      </c>
      <c r="H50" s="135" t="s">
        <v>1644</v>
      </c>
      <c r="I50" s="135"/>
      <c r="J50" s="135"/>
      <c r="K50" s="140" t="s">
        <v>229</v>
      </c>
      <c r="L50" s="134" t="s">
        <v>1341</v>
      </c>
      <c r="M50" s="138" t="n">
        <v>46288.0</v>
      </c>
      <c r="N50" s="134" t="s">
        <v>337</v>
      </c>
      <c r="O50" s="131"/>
      <c r="P50" s="131"/>
      <c r="Q50" s="131"/>
      <c r="R50" s="131"/>
      <c r="S50" s="131"/>
      <c r="T50" s="131"/>
      <c r="U50" s="131"/>
      <c r="V50" s="131"/>
      <c r="W50" s="131"/>
      <c r="X50" s="131"/>
      <c r="Y50" s="131"/>
      <c r="Z50" s="131"/>
    </row>
    <row r="51" ht="90.0" customHeight="true">
      <c r="A51" s="134" t="s">
        <v>1645</v>
      </c>
      <c r="B51" s="135" t="s">
        <v>1646</v>
      </c>
      <c r="C51" s="135" t="s">
        <v>1647</v>
      </c>
      <c r="D51" s="136" t="s">
        <v>1582</v>
      </c>
      <c r="E51" s="135" t="s">
        <v>1648</v>
      </c>
      <c r="F51" s="135" t="s">
        <v>1649</v>
      </c>
      <c r="G51" s="135" t="s">
        <v>1650</v>
      </c>
      <c r="H51" s="135" t="s">
        <v>1651</v>
      </c>
      <c r="I51" s="135"/>
      <c r="J51" s="135"/>
      <c r="K51" s="139" t="s">
        <v>227</v>
      </c>
      <c r="L51" s="134" t="s">
        <v>1341</v>
      </c>
      <c r="M51" s="138" t="n">
        <v>46288.0</v>
      </c>
      <c r="N51" s="134" t="s">
        <v>276</v>
      </c>
      <c r="O51" s="131"/>
      <c r="P51" s="131"/>
      <c r="Q51" s="131"/>
      <c r="R51" s="131"/>
      <c r="S51" s="131"/>
      <c r="T51" s="131"/>
      <c r="U51" s="131"/>
      <c r="V51" s="131"/>
      <c r="W51" s="131"/>
      <c r="X51" s="131"/>
      <c r="Y51" s="131"/>
      <c r="Z51" s="131"/>
    </row>
    <row r="52" ht="21.75" customHeight="true">
      <c r="A52" s="133" t="s">
        <v>1652</v>
      </c>
      <c r="B52" s="129"/>
      <c r="C52" s="129"/>
      <c r="D52" s="129"/>
      <c r="E52" s="129"/>
      <c r="F52" s="129"/>
      <c r="G52" s="129"/>
      <c r="H52" s="129"/>
      <c r="I52" s="129"/>
      <c r="J52" s="129"/>
      <c r="K52" s="129"/>
      <c r="L52" s="129"/>
      <c r="M52" s="129"/>
      <c r="N52" s="130"/>
      <c r="O52" s="131"/>
      <c r="P52" s="131"/>
      <c r="Q52" s="131"/>
      <c r="R52" s="131"/>
      <c r="S52" s="131"/>
      <c r="T52" s="131"/>
      <c r="U52" s="131"/>
      <c r="V52" s="131"/>
      <c r="W52" s="131"/>
      <c r="X52" s="131"/>
      <c r="Y52" s="131"/>
      <c r="Z52" s="131"/>
    </row>
    <row r="53" ht="90.0" customHeight="true">
      <c r="A53" s="134" t="s">
        <v>1653</v>
      </c>
      <c r="B53" s="135" t="s">
        <v>1654</v>
      </c>
      <c r="C53" s="135" t="s">
        <v>1655</v>
      </c>
      <c r="D53" s="136" t="s">
        <v>1656</v>
      </c>
      <c r="E53" s="135" t="s">
        <v>1657</v>
      </c>
      <c r="F53" s="135" t="s">
        <v>1658</v>
      </c>
      <c r="G53" s="135" t="s">
        <v>1659</v>
      </c>
      <c r="H53" s="135" t="s">
        <v>1660</v>
      </c>
      <c r="I53" s="135"/>
      <c r="J53" s="135"/>
      <c r="K53" s="137" t="s">
        <v>225</v>
      </c>
      <c r="L53" s="134" t="s">
        <v>1341</v>
      </c>
      <c r="M53" s="138" t="n">
        <v>46288.0</v>
      </c>
      <c r="N53" s="134" t="s">
        <v>276</v>
      </c>
      <c r="O53" s="131"/>
      <c r="P53" s="131"/>
      <c r="Q53" s="131"/>
      <c r="R53" s="131"/>
      <c r="S53" s="131"/>
      <c r="T53" s="131"/>
      <c r="U53" s="131"/>
      <c r="V53" s="131"/>
      <c r="W53" s="131"/>
      <c r="X53" s="131"/>
      <c r="Y53" s="131"/>
      <c r="Z53" s="131"/>
    </row>
    <row r="54" ht="90.0" customHeight="true">
      <c r="A54" s="134" t="s">
        <v>1661</v>
      </c>
      <c r="B54" s="135" t="s">
        <v>1662</v>
      </c>
      <c r="C54" s="135" t="s">
        <v>1663</v>
      </c>
      <c r="D54" s="136" t="s">
        <v>1656</v>
      </c>
      <c r="E54" s="135" t="s">
        <v>1664</v>
      </c>
      <c r="F54" s="135" t="s">
        <v>1665</v>
      </c>
      <c r="G54" s="135" t="s">
        <v>1666</v>
      </c>
      <c r="H54" s="135" t="s">
        <v>1660</v>
      </c>
      <c r="I54" s="135"/>
      <c r="J54" s="135"/>
      <c r="K54" s="137" t="s">
        <v>225</v>
      </c>
      <c r="L54" s="134" t="s">
        <v>1341</v>
      </c>
      <c r="M54" s="138" t="n">
        <v>46288.0</v>
      </c>
      <c r="N54" s="134" t="s">
        <v>276</v>
      </c>
      <c r="O54" s="131"/>
      <c r="P54" s="131"/>
      <c r="Q54" s="131"/>
      <c r="R54" s="131"/>
      <c r="S54" s="131"/>
      <c r="T54" s="131"/>
      <c r="U54" s="131"/>
      <c r="V54" s="131"/>
      <c r="W54" s="131"/>
      <c r="X54" s="131"/>
      <c r="Y54" s="131"/>
      <c r="Z54" s="131"/>
    </row>
    <row r="55" ht="90.0" customHeight="true">
      <c r="A55" s="134" t="s">
        <v>1667</v>
      </c>
      <c r="B55" s="135" t="s">
        <v>1668</v>
      </c>
      <c r="C55" s="135" t="s">
        <v>1669</v>
      </c>
      <c r="D55" s="136" t="s">
        <v>1656</v>
      </c>
      <c r="E55" s="135" t="s">
        <v>1670</v>
      </c>
      <c r="F55" s="135" t="s">
        <v>1671</v>
      </c>
      <c r="G55" s="135" t="s">
        <v>1672</v>
      </c>
      <c r="H55" s="135" t="s">
        <v>1673</v>
      </c>
      <c r="I55" s="135"/>
      <c r="J55" s="135"/>
      <c r="K55" s="137" t="s">
        <v>225</v>
      </c>
      <c r="L55" s="134" t="s">
        <v>1341</v>
      </c>
      <c r="M55" s="138" t="n">
        <v>46288.0</v>
      </c>
      <c r="N55" s="134" t="s">
        <v>337</v>
      </c>
      <c r="O55" s="131"/>
      <c r="P55" s="131"/>
      <c r="Q55" s="131"/>
      <c r="R55" s="131"/>
      <c r="S55" s="131"/>
      <c r="T55" s="131"/>
      <c r="U55" s="131"/>
      <c r="V55" s="131"/>
      <c r="W55" s="131"/>
      <c r="X55" s="131"/>
      <c r="Y55" s="131"/>
      <c r="Z55" s="131"/>
    </row>
    <row r="56" ht="90.0" customHeight="true">
      <c r="A56" s="134" t="s">
        <v>1674</v>
      </c>
      <c r="B56" s="135" t="s">
        <v>1675</v>
      </c>
      <c r="C56" s="135" t="s">
        <v>1676</v>
      </c>
      <c r="D56" s="136" t="s">
        <v>1656</v>
      </c>
      <c r="E56" s="135" t="s">
        <v>1677</v>
      </c>
      <c r="F56" s="135" t="s">
        <v>1678</v>
      </c>
      <c r="G56" s="135" t="s">
        <v>1679</v>
      </c>
      <c r="H56" s="135" t="s">
        <v>1680</v>
      </c>
      <c r="I56" s="135"/>
      <c r="J56" s="135"/>
      <c r="K56" s="140" t="s">
        <v>229</v>
      </c>
      <c r="L56" s="134" t="s">
        <v>1341</v>
      </c>
      <c r="M56" s="138" t="n">
        <v>46288.0</v>
      </c>
      <c r="N56" s="134" t="s">
        <v>427</v>
      </c>
      <c r="O56" s="131"/>
      <c r="P56" s="131"/>
      <c r="Q56" s="131"/>
      <c r="R56" s="131"/>
      <c r="S56" s="131"/>
      <c r="T56" s="131"/>
      <c r="U56" s="131"/>
      <c r="V56" s="131"/>
      <c r="W56" s="131"/>
      <c r="X56" s="131"/>
      <c r="Y56" s="131"/>
      <c r="Z56" s="131"/>
    </row>
    <row r="57" ht="90.0" customHeight="true">
      <c r="A57" s="134" t="s">
        <v>1681</v>
      </c>
      <c r="B57" s="135" t="s">
        <v>1682</v>
      </c>
      <c r="C57" s="135" t="s">
        <v>1683</v>
      </c>
      <c r="D57" s="136" t="s">
        <v>1640</v>
      </c>
      <c r="E57" s="135" t="s">
        <v>1684</v>
      </c>
      <c r="F57" s="135" t="s">
        <v>1685</v>
      </c>
      <c r="G57" s="135" t="s">
        <v>1686</v>
      </c>
      <c r="H57" s="135" t="s">
        <v>1687</v>
      </c>
      <c r="I57" s="135"/>
      <c r="J57" s="135"/>
      <c r="K57" s="139" t="s">
        <v>227</v>
      </c>
      <c r="L57" s="134" t="s">
        <v>1341</v>
      </c>
      <c r="M57" s="138" t="n">
        <v>46288.0</v>
      </c>
      <c r="N57" s="134" t="s">
        <v>276</v>
      </c>
      <c r="O57" s="131"/>
      <c r="P57" s="131"/>
      <c r="Q57" s="131"/>
      <c r="R57" s="131"/>
      <c r="S57" s="131"/>
      <c r="T57" s="131"/>
      <c r="U57" s="131"/>
      <c r="V57" s="131"/>
      <c r="W57" s="131"/>
      <c r="X57" s="131"/>
      <c r="Y57" s="131"/>
      <c r="Z57" s="131"/>
    </row>
    <row r="58" ht="90.0" customHeight="true">
      <c r="A58" s="134" t="s">
        <v>1688</v>
      </c>
      <c r="B58" s="135" t="s">
        <v>1689</v>
      </c>
      <c r="C58" s="135" t="s">
        <v>1690</v>
      </c>
      <c r="D58" s="136" t="s">
        <v>1691</v>
      </c>
      <c r="E58" s="135" t="s">
        <v>1692</v>
      </c>
      <c r="F58" s="135" t="s">
        <v>1693</v>
      </c>
      <c r="G58" s="135" t="s">
        <v>1694</v>
      </c>
      <c r="H58" s="135" t="s">
        <v>1695</v>
      </c>
      <c r="I58" s="135"/>
      <c r="J58" s="135"/>
      <c r="K58" s="137" t="s">
        <v>225</v>
      </c>
      <c r="L58" s="134" t="s">
        <v>1341</v>
      </c>
      <c r="M58" s="138" t="n">
        <v>46288.0</v>
      </c>
      <c r="N58" s="134" t="s">
        <v>345</v>
      </c>
      <c r="O58" s="131"/>
      <c r="P58" s="131"/>
      <c r="Q58" s="131"/>
      <c r="R58" s="131"/>
      <c r="S58" s="131"/>
      <c r="T58" s="131"/>
      <c r="U58" s="131"/>
      <c r="V58" s="131"/>
      <c r="W58" s="131"/>
      <c r="X58" s="131"/>
      <c r="Y58" s="131"/>
      <c r="Z58" s="131"/>
    </row>
    <row r="59" ht="90.0" customHeight="true">
      <c r="A59" s="134" t="s">
        <v>1696</v>
      </c>
      <c r="B59" s="135" t="s">
        <v>1697</v>
      </c>
      <c r="C59" s="135" t="s">
        <v>1698</v>
      </c>
      <c r="D59" s="136" t="s">
        <v>1656</v>
      </c>
      <c r="E59" s="135" t="s">
        <v>1699</v>
      </c>
      <c r="F59" s="135" t="s">
        <v>1700</v>
      </c>
      <c r="G59" s="135" t="s">
        <v>1701</v>
      </c>
      <c r="H59" s="135" t="s">
        <v>1702</v>
      </c>
      <c r="I59" s="135"/>
      <c r="J59" s="135"/>
      <c r="K59" s="139" t="s">
        <v>227</v>
      </c>
      <c r="L59" s="134" t="s">
        <v>1341</v>
      </c>
      <c r="M59" s="138" t="n">
        <v>46288.0</v>
      </c>
      <c r="N59" s="134" t="s">
        <v>276</v>
      </c>
      <c r="O59" s="131"/>
      <c r="P59" s="131"/>
      <c r="Q59" s="131"/>
      <c r="R59" s="131"/>
      <c r="S59" s="131"/>
      <c r="T59" s="131"/>
      <c r="U59" s="131"/>
      <c r="V59" s="131"/>
      <c r="W59" s="131"/>
      <c r="X59" s="131"/>
      <c r="Y59" s="131"/>
      <c r="Z59" s="131"/>
    </row>
    <row r="60" ht="90.0" customHeight="true">
      <c r="A60" s="134" t="s">
        <v>1703</v>
      </c>
      <c r="B60" s="135" t="s">
        <v>1704</v>
      </c>
      <c r="C60" s="135" t="s">
        <v>1705</v>
      </c>
      <c r="D60" s="136" t="s">
        <v>1656</v>
      </c>
      <c r="E60" s="135" t="s">
        <v>1706</v>
      </c>
      <c r="F60" s="135" t="s">
        <v>1707</v>
      </c>
      <c r="G60" s="135" t="s">
        <v>1708</v>
      </c>
      <c r="H60" s="135" t="s">
        <v>1709</v>
      </c>
      <c r="I60" s="135"/>
      <c r="J60" s="135"/>
      <c r="K60" s="140" t="s">
        <v>229</v>
      </c>
      <c r="L60" s="134" t="s">
        <v>1341</v>
      </c>
      <c r="M60" s="138" t="n">
        <v>46288.0</v>
      </c>
      <c r="N60" s="134" t="s">
        <v>314</v>
      </c>
      <c r="O60" s="131"/>
      <c r="P60" s="131"/>
      <c r="Q60" s="131"/>
      <c r="R60" s="131"/>
      <c r="S60" s="131"/>
      <c r="T60" s="131"/>
      <c r="U60" s="131"/>
      <c r="V60" s="131"/>
      <c r="W60" s="131"/>
      <c r="X60" s="131"/>
      <c r="Y60" s="131"/>
      <c r="Z60" s="131"/>
    </row>
    <row r="61" ht="90.0" customHeight="true">
      <c r="A61" s="134" t="s">
        <v>1710</v>
      </c>
      <c r="B61" s="135" t="s">
        <v>1711</v>
      </c>
      <c r="C61" s="135" t="s">
        <v>1712</v>
      </c>
      <c r="D61" s="136" t="s">
        <v>1656</v>
      </c>
      <c r="E61" s="135" t="s">
        <v>1713</v>
      </c>
      <c r="F61" s="135" t="s">
        <v>1714</v>
      </c>
      <c r="G61" s="135" t="s">
        <v>1715</v>
      </c>
      <c r="H61" s="135" t="s">
        <v>1716</v>
      </c>
      <c r="I61" s="135"/>
      <c r="J61" s="135"/>
      <c r="K61" s="139" t="s">
        <v>227</v>
      </c>
      <c r="L61" s="134" t="s">
        <v>1341</v>
      </c>
      <c r="M61" s="138" t="n">
        <v>46288.0</v>
      </c>
      <c r="N61" s="134" t="s">
        <v>427</v>
      </c>
      <c r="O61" s="131"/>
      <c r="P61" s="131"/>
      <c r="Q61" s="131"/>
      <c r="R61" s="131"/>
      <c r="S61" s="131"/>
      <c r="T61" s="131"/>
      <c r="U61" s="131"/>
      <c r="V61" s="131"/>
      <c r="W61" s="131"/>
      <c r="X61" s="131"/>
      <c r="Y61" s="131"/>
      <c r="Z61" s="131"/>
    </row>
    <row r="62" ht="90.0" customHeight="true">
      <c r="A62" s="134" t="s">
        <v>1717</v>
      </c>
      <c r="B62" s="135" t="s">
        <v>1718</v>
      </c>
      <c r="C62" s="135" t="s">
        <v>1719</v>
      </c>
      <c r="D62" s="136" t="s">
        <v>1720</v>
      </c>
      <c r="E62" s="135" t="s">
        <v>1721</v>
      </c>
      <c r="F62" s="135" t="s">
        <v>1722</v>
      </c>
      <c r="G62" s="135" t="s">
        <v>1723</v>
      </c>
      <c r="H62" s="135" t="s">
        <v>1724</v>
      </c>
      <c r="I62" s="135"/>
      <c r="J62" s="135"/>
      <c r="K62" s="139" t="s">
        <v>227</v>
      </c>
      <c r="L62" s="134" t="s">
        <v>1341</v>
      </c>
      <c r="M62" s="138" t="n">
        <v>46288.0</v>
      </c>
      <c r="N62" s="134" t="s">
        <v>276</v>
      </c>
      <c r="O62" s="131"/>
      <c r="P62" s="131"/>
      <c r="Q62" s="131"/>
      <c r="R62" s="131"/>
      <c r="S62" s="131"/>
      <c r="T62" s="131"/>
      <c r="U62" s="131"/>
      <c r="V62" s="131"/>
      <c r="W62" s="131"/>
      <c r="X62" s="131"/>
      <c r="Y62" s="131"/>
      <c r="Z62" s="131"/>
    </row>
    <row r="63" ht="21.75" customHeight="true">
      <c r="A63" s="133" t="s">
        <v>1725</v>
      </c>
      <c r="B63" s="129"/>
      <c r="C63" s="129"/>
      <c r="D63" s="129"/>
      <c r="E63" s="129"/>
      <c r="F63" s="129"/>
      <c r="G63" s="129"/>
      <c r="H63" s="129"/>
      <c r="I63" s="129"/>
      <c r="J63" s="129"/>
      <c r="K63" s="129"/>
      <c r="L63" s="129"/>
      <c r="M63" s="129"/>
      <c r="N63" s="130"/>
      <c r="O63" s="131"/>
      <c r="P63" s="131"/>
      <c r="Q63" s="131"/>
      <c r="R63" s="131"/>
      <c r="S63" s="131"/>
      <c r="T63" s="131"/>
      <c r="U63" s="131"/>
      <c r="V63" s="131"/>
      <c r="W63" s="131"/>
      <c r="X63" s="131"/>
      <c r="Y63" s="131"/>
      <c r="Z63" s="131"/>
    </row>
    <row r="64" ht="90.0" customHeight="true">
      <c r="A64" s="134" t="s">
        <v>1726</v>
      </c>
      <c r="B64" s="135" t="s">
        <v>1727</v>
      </c>
      <c r="C64" s="135" t="s">
        <v>1728</v>
      </c>
      <c r="D64" s="135" t="s">
        <v>1111</v>
      </c>
      <c r="E64" s="135" t="s">
        <v>1729</v>
      </c>
      <c r="F64" s="135" t="s">
        <v>1113</v>
      </c>
      <c r="G64" s="135" t="s">
        <v>1114</v>
      </c>
      <c r="H64" s="135" t="s">
        <v>1730</v>
      </c>
      <c r="I64" s="135"/>
      <c r="J64" s="135"/>
      <c r="K64" s="137" t="s">
        <v>225</v>
      </c>
      <c r="L64" s="134" t="s">
        <v>1341</v>
      </c>
      <c r="M64" s="138" t="n">
        <v>46288.0</v>
      </c>
      <c r="N64" s="134" t="s">
        <v>1121</v>
      </c>
      <c r="O64" s="131"/>
      <c r="P64" s="131"/>
      <c r="Q64" s="131"/>
      <c r="R64" s="131"/>
      <c r="S64" s="131"/>
      <c r="T64" s="131"/>
      <c r="U64" s="131"/>
      <c r="V64" s="131"/>
      <c r="W64" s="131"/>
      <c r="X64" s="131"/>
      <c r="Y64" s="131"/>
      <c r="Z64" s="131"/>
    </row>
    <row r="65" ht="90.0" customHeight="true">
      <c r="A65" s="134" t="s">
        <v>1731</v>
      </c>
      <c r="B65" s="135" t="s">
        <v>1732</v>
      </c>
      <c r="C65" s="135" t="s">
        <v>1733</v>
      </c>
      <c r="D65" s="135" t="s">
        <v>1125</v>
      </c>
      <c r="E65" s="135" t="s">
        <v>1734</v>
      </c>
      <c r="F65" s="135" t="s">
        <v>1127</v>
      </c>
      <c r="G65" s="135" t="s">
        <v>1735</v>
      </c>
      <c r="H65" s="135" t="s">
        <v>1736</v>
      </c>
      <c r="I65" s="135"/>
      <c r="J65" s="135"/>
      <c r="K65" s="137" t="s">
        <v>225</v>
      </c>
      <c r="L65" s="134" t="s">
        <v>1341</v>
      </c>
      <c r="M65" s="138" t="n">
        <v>46288.0</v>
      </c>
      <c r="N65" s="134" t="s">
        <v>1121</v>
      </c>
      <c r="O65" s="131"/>
      <c r="P65" s="131"/>
      <c r="Q65" s="131"/>
      <c r="R65" s="131"/>
      <c r="S65" s="131"/>
      <c r="T65" s="131"/>
      <c r="U65" s="131"/>
      <c r="V65" s="131"/>
      <c r="W65" s="131"/>
      <c r="X65" s="131"/>
      <c r="Y65" s="131"/>
      <c r="Z65" s="131"/>
    </row>
    <row r="66" ht="90.0" customHeight="true">
      <c r="A66" s="134" t="s">
        <v>1737</v>
      </c>
      <c r="B66" s="135" t="s">
        <v>1738</v>
      </c>
      <c r="C66" s="135" t="s">
        <v>1739</v>
      </c>
      <c r="D66" s="135" t="s">
        <v>1133</v>
      </c>
      <c r="E66" s="135" t="s">
        <v>1740</v>
      </c>
      <c r="F66" s="135" t="s">
        <v>1135</v>
      </c>
      <c r="G66" s="135" t="s">
        <v>1136</v>
      </c>
      <c r="H66" s="135" t="s">
        <v>1741</v>
      </c>
      <c r="I66" s="135"/>
      <c r="J66" s="135"/>
      <c r="K66" s="137" t="s">
        <v>225</v>
      </c>
      <c r="L66" s="134" t="s">
        <v>1341</v>
      </c>
      <c r="M66" s="138" t="n">
        <v>46288.0</v>
      </c>
      <c r="N66" s="134" t="s">
        <v>337</v>
      </c>
      <c r="O66" s="131"/>
      <c r="P66" s="131"/>
      <c r="Q66" s="131"/>
      <c r="R66" s="131"/>
      <c r="S66" s="131"/>
      <c r="T66" s="131"/>
      <c r="U66" s="131"/>
      <c r="V66" s="131"/>
      <c r="W66" s="131"/>
      <c r="X66" s="131"/>
      <c r="Y66" s="131"/>
      <c r="Z66" s="131"/>
    </row>
    <row r="67" ht="90.0" customHeight="true">
      <c r="A67" s="134" t="s">
        <v>1742</v>
      </c>
      <c r="B67" s="135" t="s">
        <v>1743</v>
      </c>
      <c r="C67" s="135" t="s">
        <v>1744</v>
      </c>
      <c r="D67" s="135" t="s">
        <v>1141</v>
      </c>
      <c r="E67" s="135" t="s">
        <v>1745</v>
      </c>
      <c r="F67" s="135" t="s">
        <v>1143</v>
      </c>
      <c r="G67" s="135" t="s">
        <v>1746</v>
      </c>
      <c r="H67" s="135" t="s">
        <v>1747</v>
      </c>
      <c r="I67" s="135"/>
      <c r="J67" s="135"/>
      <c r="K67" s="137" t="s">
        <v>225</v>
      </c>
      <c r="L67" s="134" t="s">
        <v>1341</v>
      </c>
      <c r="M67" s="138" t="n">
        <v>46288.0</v>
      </c>
      <c r="N67" s="134" t="s">
        <v>337</v>
      </c>
      <c r="O67" s="131"/>
      <c r="P67" s="131"/>
      <c r="Q67" s="131"/>
      <c r="R67" s="131"/>
      <c r="S67" s="131"/>
      <c r="T67" s="131"/>
      <c r="U67" s="131"/>
      <c r="V67" s="131"/>
      <c r="W67" s="131"/>
      <c r="X67" s="131"/>
      <c r="Y67" s="131"/>
      <c r="Z67" s="131"/>
    </row>
    <row r="68" ht="90.0" customHeight="true">
      <c r="A68" s="134" t="s">
        <v>1748</v>
      </c>
      <c r="B68" s="135" t="s">
        <v>1749</v>
      </c>
      <c r="C68" s="135" t="s">
        <v>1750</v>
      </c>
      <c r="D68" s="135" t="s">
        <v>1751</v>
      </c>
      <c r="E68" s="135" t="s">
        <v>1752</v>
      </c>
      <c r="F68" s="135" t="s">
        <v>1753</v>
      </c>
      <c r="G68" s="135" t="s">
        <v>1152</v>
      </c>
      <c r="H68" s="135" t="s">
        <v>1754</v>
      </c>
      <c r="I68" s="135"/>
      <c r="J68" s="135"/>
      <c r="K68" s="139" t="s">
        <v>227</v>
      </c>
      <c r="L68" s="134" t="s">
        <v>1341</v>
      </c>
      <c r="M68" s="138" t="n">
        <v>46288.0</v>
      </c>
      <c r="N68" s="134" t="s">
        <v>1121</v>
      </c>
      <c r="O68" s="131"/>
      <c r="P68" s="131"/>
      <c r="Q68" s="131"/>
      <c r="R68" s="131"/>
      <c r="S68" s="131"/>
      <c r="T68" s="131"/>
      <c r="U68" s="131"/>
      <c r="V68" s="131"/>
      <c r="W68" s="131"/>
      <c r="X68" s="131"/>
      <c r="Y68" s="131"/>
      <c r="Z68" s="131"/>
    </row>
    <row r="69" ht="21.75" customHeight="true">
      <c r="A69" s="133" t="s">
        <v>1755</v>
      </c>
      <c r="B69" s="129"/>
      <c r="C69" s="129"/>
      <c r="D69" s="129"/>
      <c r="E69" s="129"/>
      <c r="F69" s="129"/>
      <c r="G69" s="129"/>
      <c r="H69" s="129"/>
      <c r="I69" s="129"/>
      <c r="J69" s="129"/>
      <c r="K69" s="129"/>
      <c r="L69" s="129"/>
      <c r="M69" s="129"/>
      <c r="N69" s="130"/>
      <c r="O69" s="131"/>
      <c r="P69" s="131"/>
      <c r="Q69" s="131"/>
      <c r="R69" s="131"/>
      <c r="S69" s="131"/>
      <c r="T69" s="131"/>
      <c r="U69" s="131"/>
      <c r="V69" s="131"/>
      <c r="W69" s="131"/>
      <c r="X69" s="131"/>
      <c r="Y69" s="131"/>
      <c r="Z69" s="131"/>
    </row>
    <row r="70" ht="90.0" customHeight="true">
      <c r="A70" s="134" t="s">
        <v>1756</v>
      </c>
      <c r="B70" s="135" t="s">
        <v>1757</v>
      </c>
      <c r="C70" s="135" t="s">
        <v>1758</v>
      </c>
      <c r="D70" s="136" t="s">
        <v>1397</v>
      </c>
      <c r="E70" s="135" t="s">
        <v>1759</v>
      </c>
      <c r="F70" s="135" t="s">
        <v>1760</v>
      </c>
      <c r="G70" s="135" t="s">
        <v>1761</v>
      </c>
      <c r="H70" s="135" t="s">
        <v>1762</v>
      </c>
      <c r="I70" s="135"/>
      <c r="J70" s="135"/>
      <c r="K70" s="139" t="s">
        <v>227</v>
      </c>
      <c r="L70" s="134" t="s">
        <v>1341</v>
      </c>
      <c r="M70" s="138" t="n">
        <v>46288.0</v>
      </c>
      <c r="N70" s="134" t="s">
        <v>1163</v>
      </c>
      <c r="O70" s="131"/>
      <c r="P70" s="131"/>
      <c r="Q70" s="131"/>
      <c r="R70" s="131"/>
      <c r="S70" s="131"/>
      <c r="T70" s="131"/>
      <c r="U70" s="131"/>
      <c r="V70" s="131"/>
      <c r="W70" s="131"/>
      <c r="X70" s="131"/>
      <c r="Y70" s="131"/>
      <c r="Z70" s="131"/>
    </row>
    <row r="71" ht="90.0" customHeight="true">
      <c r="A71" s="134" t="s">
        <v>1763</v>
      </c>
      <c r="B71" s="135" t="s">
        <v>1764</v>
      </c>
      <c r="C71" s="135" t="s">
        <v>1765</v>
      </c>
      <c r="D71" s="136" t="s">
        <v>1397</v>
      </c>
      <c r="E71" s="135" t="s">
        <v>1766</v>
      </c>
      <c r="F71" s="135" t="s">
        <v>1767</v>
      </c>
      <c r="G71" s="135" t="s">
        <v>1768</v>
      </c>
      <c r="H71" s="135" t="s">
        <v>1769</v>
      </c>
      <c r="I71" s="135"/>
      <c r="J71" s="135"/>
      <c r="K71" s="139" t="s">
        <v>227</v>
      </c>
      <c r="L71" s="134" t="s">
        <v>1341</v>
      </c>
      <c r="M71" s="138" t="n">
        <v>46288.0</v>
      </c>
      <c r="N71" s="134" t="s">
        <v>1163</v>
      </c>
      <c r="O71" s="131"/>
      <c r="P71" s="131"/>
      <c r="Q71" s="131"/>
      <c r="R71" s="131"/>
      <c r="S71" s="131"/>
      <c r="T71" s="131"/>
      <c r="U71" s="131"/>
      <c r="V71" s="131"/>
      <c r="W71" s="131"/>
      <c r="X71" s="131"/>
      <c r="Y71" s="131"/>
      <c r="Z71" s="131"/>
    </row>
    <row r="72" ht="90.0" customHeight="true">
      <c r="A72" s="134" t="s">
        <v>1770</v>
      </c>
      <c r="B72" s="135" t="s">
        <v>1771</v>
      </c>
      <c r="C72" s="135" t="s">
        <v>1772</v>
      </c>
      <c r="D72" s="135" t="s">
        <v>1773</v>
      </c>
      <c r="E72" s="135" t="s">
        <v>1774</v>
      </c>
      <c r="F72" s="135" t="s">
        <v>1775</v>
      </c>
      <c r="G72" s="135" t="s">
        <v>1776</v>
      </c>
      <c r="H72" s="135" t="s">
        <v>1777</v>
      </c>
      <c r="I72" s="135"/>
      <c r="J72" s="135"/>
      <c r="K72" s="137" t="s">
        <v>225</v>
      </c>
      <c r="L72" s="134" t="s">
        <v>1341</v>
      </c>
      <c r="M72" s="138" t="n">
        <v>46288.0</v>
      </c>
      <c r="N72" s="134" t="s">
        <v>1163</v>
      </c>
      <c r="O72" s="131"/>
      <c r="P72" s="131"/>
      <c r="Q72" s="131"/>
      <c r="R72" s="131"/>
      <c r="S72" s="131"/>
      <c r="T72" s="131"/>
      <c r="U72" s="131"/>
      <c r="V72" s="131"/>
      <c r="W72" s="131"/>
      <c r="X72" s="131"/>
      <c r="Y72" s="131"/>
      <c r="Z72" s="131"/>
    </row>
    <row r="73" ht="90.0" customHeight="true">
      <c r="A73" s="134" t="s">
        <v>1778</v>
      </c>
      <c r="B73" s="135" t="s">
        <v>1779</v>
      </c>
      <c r="C73" s="135" t="s">
        <v>1780</v>
      </c>
      <c r="D73" s="135" t="s">
        <v>1781</v>
      </c>
      <c r="E73" s="135" t="s">
        <v>1782</v>
      </c>
      <c r="F73" s="135" t="s">
        <v>1783</v>
      </c>
      <c r="G73" s="135" t="s">
        <v>1784</v>
      </c>
      <c r="H73" s="135" t="s">
        <v>1785</v>
      </c>
      <c r="I73" s="135"/>
      <c r="J73" s="135"/>
      <c r="K73" s="139" t="s">
        <v>227</v>
      </c>
      <c r="L73" s="134" t="s">
        <v>1341</v>
      </c>
      <c r="M73" s="138" t="n">
        <v>46288.0</v>
      </c>
      <c r="N73" s="134" t="s">
        <v>1163</v>
      </c>
      <c r="O73" s="131"/>
      <c r="P73" s="131"/>
      <c r="Q73" s="131"/>
      <c r="R73" s="131"/>
      <c r="S73" s="131"/>
      <c r="T73" s="131"/>
      <c r="U73" s="131"/>
      <c r="V73" s="131"/>
      <c r="W73" s="131"/>
      <c r="X73" s="131"/>
      <c r="Y73" s="131"/>
      <c r="Z73" s="131"/>
    </row>
    <row r="74" ht="90.0" customHeight="true">
      <c r="A74" s="134" t="s">
        <v>1786</v>
      </c>
      <c r="B74" s="135" t="s">
        <v>1787</v>
      </c>
      <c r="C74" s="135" t="s">
        <v>1788</v>
      </c>
      <c r="D74" s="136" t="s">
        <v>1345</v>
      </c>
      <c r="E74" s="135" t="s">
        <v>1789</v>
      </c>
      <c r="F74" s="135" t="s">
        <v>1790</v>
      </c>
      <c r="G74" s="135" t="s">
        <v>1791</v>
      </c>
      <c r="H74" s="135" t="s">
        <v>1162</v>
      </c>
      <c r="I74" s="135"/>
      <c r="J74" s="135"/>
      <c r="K74" s="139" t="s">
        <v>227</v>
      </c>
      <c r="L74" s="134" t="s">
        <v>1341</v>
      </c>
      <c r="M74" s="138" t="n">
        <v>46288.0</v>
      </c>
      <c r="N74" s="134" t="s">
        <v>1163</v>
      </c>
      <c r="O74" s="131"/>
      <c r="P74" s="131"/>
      <c r="Q74" s="131"/>
      <c r="R74" s="131"/>
      <c r="S74" s="131"/>
      <c r="T74" s="131"/>
      <c r="U74" s="131"/>
      <c r="V74" s="131"/>
      <c r="W74" s="131"/>
      <c r="X74" s="131"/>
      <c r="Y74" s="131"/>
      <c r="Z74" s="131"/>
    </row>
    <row r="75" ht="21.75" customHeight="true">
      <c r="A75" s="133" t="s">
        <v>1792</v>
      </c>
      <c r="B75" s="129"/>
      <c r="C75" s="129"/>
      <c r="D75" s="129"/>
      <c r="E75" s="129"/>
      <c r="F75" s="129"/>
      <c r="G75" s="129"/>
      <c r="H75" s="129"/>
      <c r="I75" s="129"/>
      <c r="J75" s="129"/>
      <c r="K75" s="129"/>
      <c r="L75" s="129"/>
      <c r="M75" s="129"/>
      <c r="N75" s="130"/>
      <c r="O75" s="131"/>
      <c r="P75" s="131"/>
      <c r="Q75" s="131"/>
      <c r="R75" s="131"/>
      <c r="S75" s="131"/>
      <c r="T75" s="131"/>
      <c r="U75" s="131"/>
      <c r="V75" s="131"/>
      <c r="W75" s="131"/>
      <c r="X75" s="131"/>
      <c r="Y75" s="131"/>
      <c r="Z75" s="131"/>
    </row>
    <row r="76" ht="90.0" customHeight="true">
      <c r="A76" s="134" t="s">
        <v>1793</v>
      </c>
      <c r="B76" s="135" t="s">
        <v>1794</v>
      </c>
      <c r="C76" s="135" t="s">
        <v>1795</v>
      </c>
      <c r="D76" s="135" t="s">
        <v>1796</v>
      </c>
      <c r="E76" s="135" t="s">
        <v>1797</v>
      </c>
      <c r="F76" s="135" t="s">
        <v>1354</v>
      </c>
      <c r="G76" s="135" t="s">
        <v>1798</v>
      </c>
      <c r="H76" s="135" t="s">
        <v>1799</v>
      </c>
      <c r="I76" s="135"/>
      <c r="J76" s="135"/>
      <c r="K76" s="137" t="s">
        <v>225</v>
      </c>
      <c r="L76" s="134" t="s">
        <v>1341</v>
      </c>
      <c r="M76" s="138" t="n">
        <v>46288.0</v>
      </c>
      <c r="N76" s="134" t="s">
        <v>276</v>
      </c>
      <c r="O76" s="131"/>
      <c r="P76" s="131"/>
      <c r="Q76" s="131"/>
      <c r="R76" s="131"/>
      <c r="S76" s="131"/>
      <c r="T76" s="131"/>
      <c r="U76" s="131"/>
      <c r="V76" s="131"/>
      <c r="W76" s="131"/>
      <c r="X76" s="131"/>
      <c r="Y76" s="131"/>
      <c r="Z76" s="131"/>
    </row>
    <row r="77" ht="90.0" customHeight="true">
      <c r="A77" s="134" t="s">
        <v>1800</v>
      </c>
      <c r="B77" s="135" t="s">
        <v>1801</v>
      </c>
      <c r="C77" s="135" t="s">
        <v>1802</v>
      </c>
      <c r="D77" s="135" t="s">
        <v>1803</v>
      </c>
      <c r="E77" s="135" t="s">
        <v>1804</v>
      </c>
      <c r="F77" s="135" t="s">
        <v>1805</v>
      </c>
      <c r="G77" s="135" t="s">
        <v>1806</v>
      </c>
      <c r="H77" s="135" t="s">
        <v>1799</v>
      </c>
      <c r="I77" s="135"/>
      <c r="J77" s="135"/>
      <c r="K77" s="137" t="s">
        <v>225</v>
      </c>
      <c r="L77" s="134" t="s">
        <v>1341</v>
      </c>
      <c r="M77" s="138" t="n">
        <v>46288.0</v>
      </c>
      <c r="N77" s="134" t="s">
        <v>337</v>
      </c>
      <c r="O77" s="131"/>
      <c r="P77" s="131"/>
      <c r="Q77" s="131"/>
      <c r="R77" s="131"/>
      <c r="S77" s="131"/>
      <c r="T77" s="131"/>
      <c r="U77" s="131"/>
      <c r="V77" s="131"/>
      <c r="W77" s="131"/>
      <c r="X77" s="131"/>
      <c r="Y77" s="131"/>
      <c r="Z77" s="131"/>
    </row>
    <row r="78" ht="90.0" customHeight="true">
      <c r="A78" s="134" t="s">
        <v>1807</v>
      </c>
      <c r="B78" s="135" t="s">
        <v>1808</v>
      </c>
      <c r="C78" s="135" t="s">
        <v>1809</v>
      </c>
      <c r="D78" s="135" t="s">
        <v>1810</v>
      </c>
      <c r="E78" s="135" t="s">
        <v>1811</v>
      </c>
      <c r="F78" s="135" t="s">
        <v>1390</v>
      </c>
      <c r="G78" s="135" t="s">
        <v>1812</v>
      </c>
      <c r="H78" s="135" t="s">
        <v>1813</v>
      </c>
      <c r="I78" s="135"/>
      <c r="J78" s="135"/>
      <c r="K78" s="139" t="s">
        <v>227</v>
      </c>
      <c r="L78" s="134" t="s">
        <v>1341</v>
      </c>
      <c r="M78" s="138" t="n">
        <v>46288.0</v>
      </c>
      <c r="N78" s="134" t="s">
        <v>276</v>
      </c>
      <c r="O78" s="131"/>
      <c r="P78" s="131"/>
      <c r="Q78" s="131"/>
      <c r="R78" s="131"/>
      <c r="S78" s="131"/>
      <c r="T78" s="131"/>
      <c r="U78" s="131"/>
      <c r="V78" s="131"/>
      <c r="W78" s="131"/>
      <c r="X78" s="131"/>
      <c r="Y78" s="131"/>
      <c r="Z78" s="131"/>
    </row>
    <row r="79" ht="90.0" customHeight="true">
      <c r="A79" s="134" t="s">
        <v>1814</v>
      </c>
      <c r="B79" s="135" t="s">
        <v>1815</v>
      </c>
      <c r="C79" s="135" t="s">
        <v>1816</v>
      </c>
      <c r="D79" s="135" t="s">
        <v>1817</v>
      </c>
      <c r="E79" s="135" t="s">
        <v>1818</v>
      </c>
      <c r="F79" s="135" t="s">
        <v>1819</v>
      </c>
      <c r="G79" s="135" t="s">
        <v>1820</v>
      </c>
      <c r="H79" s="135" t="s">
        <v>1821</v>
      </c>
      <c r="I79" s="135"/>
      <c r="J79" s="135"/>
      <c r="K79" s="139" t="s">
        <v>227</v>
      </c>
      <c r="L79" s="134" t="s">
        <v>1341</v>
      </c>
      <c r="M79" s="138" t="n">
        <v>46288.0</v>
      </c>
      <c r="N79" s="134" t="s">
        <v>427</v>
      </c>
      <c r="O79" s="131"/>
      <c r="P79" s="131"/>
      <c r="Q79" s="131"/>
      <c r="R79" s="131"/>
      <c r="S79" s="131"/>
      <c r="T79" s="131"/>
      <c r="U79" s="131"/>
      <c r="V79" s="131"/>
      <c r="W79" s="131"/>
      <c r="X79" s="131"/>
      <c r="Y79" s="131"/>
      <c r="Z79" s="131"/>
    </row>
    <row r="80" ht="90.0" customHeight="true">
      <c r="A80" s="134" t="s">
        <v>1822</v>
      </c>
      <c r="B80" s="135" t="s">
        <v>1823</v>
      </c>
      <c r="C80" s="135" t="s">
        <v>1824</v>
      </c>
      <c r="D80" s="135" t="s">
        <v>1825</v>
      </c>
      <c r="E80" s="135" t="s">
        <v>1826</v>
      </c>
      <c r="F80" s="135" t="s">
        <v>1827</v>
      </c>
      <c r="G80" s="135" t="s">
        <v>1828</v>
      </c>
      <c r="H80" s="135" t="s">
        <v>1829</v>
      </c>
      <c r="I80" s="135"/>
      <c r="J80" s="135"/>
      <c r="K80" s="139" t="s">
        <v>227</v>
      </c>
      <c r="L80" s="134" t="s">
        <v>1341</v>
      </c>
      <c r="M80" s="138" t="n">
        <v>46288.0</v>
      </c>
      <c r="N80" s="134" t="s">
        <v>276</v>
      </c>
      <c r="O80" s="131"/>
      <c r="P80" s="131"/>
      <c r="Q80" s="131"/>
      <c r="R80" s="131"/>
      <c r="S80" s="131"/>
      <c r="T80" s="131"/>
      <c r="U80" s="131"/>
      <c r="V80" s="131"/>
      <c r="W80" s="131"/>
      <c r="X80" s="131"/>
      <c r="Y80" s="131"/>
      <c r="Z80" s="131"/>
    </row>
    <row r="81" ht="90.0" customHeight="true">
      <c r="A81" s="134" t="s">
        <v>1830</v>
      </c>
      <c r="B81" s="135" t="s">
        <v>1831</v>
      </c>
      <c r="C81" s="135" t="s">
        <v>1832</v>
      </c>
      <c r="D81" s="135" t="s">
        <v>1833</v>
      </c>
      <c r="E81" s="135" t="s">
        <v>1834</v>
      </c>
      <c r="F81" s="135" t="s">
        <v>1835</v>
      </c>
      <c r="G81" s="135" t="s">
        <v>1836</v>
      </c>
      <c r="H81" s="135" t="s">
        <v>1837</v>
      </c>
      <c r="I81" s="135"/>
      <c r="J81" s="135"/>
      <c r="K81" s="137" t="s">
        <v>225</v>
      </c>
      <c r="L81" s="134" t="s">
        <v>1341</v>
      </c>
      <c r="M81" s="138" t="n">
        <v>46288.0</v>
      </c>
      <c r="N81" s="134" t="s">
        <v>276</v>
      </c>
      <c r="O81" s="131"/>
      <c r="P81" s="131"/>
      <c r="Q81" s="131"/>
      <c r="R81" s="131"/>
      <c r="S81" s="131"/>
      <c r="T81" s="131"/>
      <c r="U81" s="131"/>
      <c r="V81" s="131"/>
      <c r="W81" s="131"/>
      <c r="X81" s="131"/>
      <c r="Y81" s="131"/>
      <c r="Z81" s="131"/>
    </row>
    <row r="82" ht="90.0" customHeight="true">
      <c r="A82" s="134" t="s">
        <v>1838</v>
      </c>
      <c r="B82" s="135" t="s">
        <v>1839</v>
      </c>
      <c r="C82" s="135" t="s">
        <v>1840</v>
      </c>
      <c r="D82" s="135" t="s">
        <v>1841</v>
      </c>
      <c r="E82" s="135" t="s">
        <v>1842</v>
      </c>
      <c r="F82" s="135" t="s">
        <v>1843</v>
      </c>
      <c r="G82" s="135" t="s">
        <v>1844</v>
      </c>
      <c r="H82" s="135" t="s">
        <v>1845</v>
      </c>
      <c r="I82" s="135"/>
      <c r="J82" s="135"/>
      <c r="K82" s="137" t="s">
        <v>225</v>
      </c>
      <c r="L82" s="134" t="s">
        <v>1341</v>
      </c>
      <c r="M82" s="138" t="n">
        <v>46288.0</v>
      </c>
      <c r="N82" s="134" t="s">
        <v>345</v>
      </c>
      <c r="O82" s="131"/>
      <c r="P82" s="131"/>
      <c r="Q82" s="131"/>
      <c r="R82" s="131"/>
      <c r="S82" s="131"/>
      <c r="T82" s="131"/>
      <c r="U82" s="131"/>
      <c r="V82" s="131"/>
      <c r="W82" s="131"/>
      <c r="X82" s="131"/>
      <c r="Y82" s="131"/>
      <c r="Z82" s="131"/>
    </row>
    <row r="83" ht="90.0" customHeight="true">
      <c r="A83" s="134" t="s">
        <v>1846</v>
      </c>
      <c r="B83" s="135" t="s">
        <v>1847</v>
      </c>
      <c r="C83" s="135" t="s">
        <v>1848</v>
      </c>
      <c r="D83" s="135" t="s">
        <v>1849</v>
      </c>
      <c r="E83" s="135" t="s">
        <v>1850</v>
      </c>
      <c r="F83" s="135" t="s">
        <v>1851</v>
      </c>
      <c r="G83" s="135" t="s">
        <v>1852</v>
      </c>
      <c r="H83" s="135" t="s">
        <v>1853</v>
      </c>
      <c r="I83" s="135"/>
      <c r="J83" s="135"/>
      <c r="K83" s="137" t="s">
        <v>225</v>
      </c>
      <c r="L83" s="134" t="s">
        <v>1341</v>
      </c>
      <c r="M83" s="138" t="n">
        <v>46288.0</v>
      </c>
      <c r="N83" s="134" t="s">
        <v>345</v>
      </c>
      <c r="O83" s="131"/>
      <c r="P83" s="131"/>
      <c r="Q83" s="131"/>
      <c r="R83" s="131"/>
      <c r="S83" s="131"/>
      <c r="T83" s="131"/>
      <c r="U83" s="131"/>
      <c r="V83" s="131"/>
      <c r="W83" s="131"/>
      <c r="X83" s="131"/>
      <c r="Y83" s="131"/>
      <c r="Z83" s="131"/>
    </row>
    <row r="84" ht="90.0" customHeight="true">
      <c r="A84" s="134" t="s">
        <v>1854</v>
      </c>
      <c r="B84" s="135" t="s">
        <v>1855</v>
      </c>
      <c r="C84" s="135" t="s">
        <v>1856</v>
      </c>
      <c r="D84" s="135" t="s">
        <v>1857</v>
      </c>
      <c r="E84" s="135" t="s">
        <v>1858</v>
      </c>
      <c r="F84" s="135" t="s">
        <v>1859</v>
      </c>
      <c r="G84" s="135" t="s">
        <v>1860</v>
      </c>
      <c r="H84" s="135" t="s">
        <v>1861</v>
      </c>
      <c r="I84" s="135"/>
      <c r="J84" s="135"/>
      <c r="K84" s="139" t="s">
        <v>227</v>
      </c>
      <c r="L84" s="134" t="s">
        <v>1341</v>
      </c>
      <c r="M84" s="138" t="n">
        <v>46288.0</v>
      </c>
      <c r="N84" s="134" t="s">
        <v>1163</v>
      </c>
      <c r="O84" s="131"/>
      <c r="P84" s="131"/>
      <c r="Q84" s="131"/>
      <c r="R84" s="131"/>
      <c r="S84" s="131"/>
      <c r="T84" s="131"/>
      <c r="U84" s="131"/>
      <c r="V84" s="131"/>
      <c r="W84" s="131"/>
      <c r="X84" s="131"/>
      <c r="Y84" s="131"/>
      <c r="Z84" s="131"/>
    </row>
    <row r="85" ht="90.0" customHeight="true">
      <c r="A85" s="134" t="s">
        <v>1862</v>
      </c>
      <c r="B85" s="135" t="s">
        <v>1863</v>
      </c>
      <c r="C85" s="135" t="s">
        <v>1864</v>
      </c>
      <c r="D85" s="135" t="s">
        <v>1865</v>
      </c>
      <c r="E85" s="135" t="s">
        <v>1866</v>
      </c>
      <c r="F85" s="135" t="s">
        <v>1867</v>
      </c>
      <c r="G85" s="135" t="s">
        <v>1868</v>
      </c>
      <c r="H85" s="135" t="s">
        <v>1869</v>
      </c>
      <c r="I85" s="135"/>
      <c r="J85" s="135"/>
      <c r="K85" s="139" t="s">
        <v>227</v>
      </c>
      <c r="L85" s="134" t="s">
        <v>1341</v>
      </c>
      <c r="M85" s="138" t="n">
        <v>46288.0</v>
      </c>
      <c r="N85" s="134" t="s">
        <v>427</v>
      </c>
      <c r="O85" s="131"/>
      <c r="P85" s="131"/>
      <c r="Q85" s="131"/>
      <c r="R85" s="131"/>
      <c r="S85" s="131"/>
      <c r="T85" s="131"/>
      <c r="U85" s="131"/>
      <c r="V85" s="131"/>
      <c r="W85" s="131"/>
      <c r="X85" s="131"/>
      <c r="Y85" s="131"/>
      <c r="Z85" s="131"/>
    </row>
    <row r="86" ht="90.0" customHeight="true">
      <c r="A86" s="134" t="s">
        <v>2954</v>
      </c>
      <c r="B86" s="135" t="s">
        <v>2955</v>
      </c>
      <c r="C86" s="135" t="s">
        <v>2956</v>
      </c>
      <c r="D86" s="135" t="s">
        <v>2957</v>
      </c>
      <c r="E86" s="135" t="s">
        <v>2958</v>
      </c>
      <c r="F86" s="135" t="s">
        <v>2959</v>
      </c>
      <c r="G86" s="135" t="s">
        <v>2960</v>
      </c>
      <c r="H86" s="135" t="s">
        <v>2649</v>
      </c>
      <c r="I86" s="135"/>
      <c r="J86" s="135"/>
      <c r="K86" s="139" t="s">
        <v>225</v>
      </c>
      <c r="L86" s="134" t="s">
        <v>275</v>
      </c>
      <c r="M86" s="138" t="n">
        <v>46297.0</v>
      </c>
      <c r="N86" s="134" t="s">
        <v>314</v>
      </c>
      <c r="O86" s="131"/>
      <c r="P86" s="131"/>
      <c r="Q86" s="131"/>
      <c r="R86" s="131"/>
      <c r="S86" s="131"/>
      <c r="T86" s="131"/>
      <c r="U86" s="131"/>
      <c r="V86" s="131"/>
      <c r="W86" s="131"/>
      <c r="X86" s="131"/>
      <c r="Y86" s="131"/>
      <c r="Z86" s="131"/>
    </row>
    <row r="87" ht="90.0" customHeight="true">
      <c r="A87" s="134" t="s">
        <v>2961</v>
      </c>
      <c r="B87" s="135" t="s">
        <v>2962</v>
      </c>
      <c r="C87" s="135" t="s">
        <v>2963</v>
      </c>
      <c r="D87" s="135" t="s">
        <v>2964</v>
      </c>
      <c r="E87" s="135" t="s">
        <v>2965</v>
      </c>
      <c r="F87" s="135" t="s">
        <v>2959</v>
      </c>
      <c r="G87" s="135" t="s">
        <v>2966</v>
      </c>
      <c r="H87" s="135" t="s">
        <v>2649</v>
      </c>
      <c r="I87" s="135"/>
      <c r="J87" s="135"/>
      <c r="K87" s="139" t="s">
        <v>225</v>
      </c>
      <c r="L87" s="134" t="s">
        <v>275</v>
      </c>
      <c r="M87" s="138" t="n">
        <v>46297.0</v>
      </c>
      <c r="N87" s="134" t="s">
        <v>314</v>
      </c>
      <c r="O87" s="131"/>
      <c r="P87" s="131"/>
      <c r="Q87" s="131"/>
      <c r="R87" s="131"/>
      <c r="S87" s="131"/>
      <c r="T87" s="131"/>
      <c r="U87" s="131"/>
      <c r="V87" s="131"/>
      <c r="W87" s="131"/>
      <c r="X87" s="131"/>
      <c r="Y87" s="131"/>
      <c r="Z87" s="131"/>
    </row>
    <row r="88" ht="90.0" customHeight="true">
      <c r="A88" s="134" t="s">
        <v>2967</v>
      </c>
      <c r="B88" s="135" t="s">
        <v>2968</v>
      </c>
      <c r="C88" s="135" t="s">
        <v>2969</v>
      </c>
      <c r="D88" s="135" t="s">
        <v>2970</v>
      </c>
      <c r="E88" s="135" t="s">
        <v>2971</v>
      </c>
      <c r="F88" s="135" t="s">
        <v>2959</v>
      </c>
      <c r="G88" s="135" t="s">
        <v>2972</v>
      </c>
      <c r="H88" s="135" t="s">
        <v>2649</v>
      </c>
      <c r="I88" s="135"/>
      <c r="J88" s="135"/>
      <c r="K88" s="139" t="s">
        <v>227</v>
      </c>
      <c r="L88" s="134" t="s">
        <v>275</v>
      </c>
      <c r="M88" s="138" t="n">
        <v>46297.0</v>
      </c>
      <c r="N88" s="134" t="s">
        <v>314</v>
      </c>
      <c r="O88" s="131"/>
      <c r="P88" s="131"/>
      <c r="Q88" s="131"/>
      <c r="R88" s="131"/>
      <c r="S88" s="131"/>
      <c r="T88" s="131"/>
      <c r="U88" s="131"/>
      <c r="V88" s="131"/>
      <c r="W88" s="131"/>
      <c r="X88" s="131"/>
      <c r="Y88" s="131"/>
      <c r="Z88" s="131"/>
    </row>
    <row r="89" ht="90.0" customHeight="true">
      <c r="A89" s="134" t="s">
        <v>2973</v>
      </c>
      <c r="B89" s="135" t="s">
        <v>2974</v>
      </c>
      <c r="C89" s="135" t="s">
        <v>2975</v>
      </c>
      <c r="D89" s="135" t="s">
        <v>2964</v>
      </c>
      <c r="E89" s="135" t="s">
        <v>2976</v>
      </c>
      <c r="F89" s="135" t="s">
        <v>2959</v>
      </c>
      <c r="G89" s="135" t="s">
        <v>3039</v>
      </c>
      <c r="H89" s="135" t="s">
        <v>2649</v>
      </c>
      <c r="I89" s="135"/>
      <c r="J89" s="135"/>
      <c r="K89" s="139" t="s">
        <v>225</v>
      </c>
      <c r="L89" s="134" t="s">
        <v>275</v>
      </c>
      <c r="M89" s="138" t="n">
        <v>46297.0</v>
      </c>
      <c r="N89" s="134" t="s">
        <v>314</v>
      </c>
      <c r="O89" s="131"/>
      <c r="P89" s="131"/>
      <c r="Q89" s="131"/>
      <c r="R89" s="131"/>
      <c r="S89" s="131"/>
      <c r="T89" s="131"/>
      <c r="U89" s="131"/>
      <c r="V89" s="131"/>
      <c r="W89" s="131"/>
      <c r="X89" s="131"/>
      <c r="Y89" s="131"/>
      <c r="Z89" s="131"/>
    </row>
    <row r="90" ht="90.0" customHeight="true">
      <c r="A90" s="134" t="s">
        <v>2978</v>
      </c>
      <c r="B90" s="135" t="s">
        <v>2979</v>
      </c>
      <c r="C90" s="135" t="s">
        <v>2980</v>
      </c>
      <c r="D90" s="135" t="s">
        <v>2981</v>
      </c>
      <c r="E90" s="135" t="s">
        <v>2982</v>
      </c>
      <c r="F90" s="135" t="s">
        <v>2959</v>
      </c>
      <c r="G90" s="135" t="s">
        <v>2983</v>
      </c>
      <c r="H90" s="135" t="s">
        <v>2649</v>
      </c>
      <c r="I90" s="135"/>
      <c r="J90" s="135"/>
      <c r="K90" s="139" t="s">
        <v>227</v>
      </c>
      <c r="L90" s="134" t="s">
        <v>275</v>
      </c>
      <c r="M90" s="138" t="n">
        <v>46297.0</v>
      </c>
      <c r="N90" s="134" t="s">
        <v>314</v>
      </c>
      <c r="O90" s="131"/>
      <c r="P90" s="131"/>
      <c r="Q90" s="131"/>
      <c r="R90" s="131"/>
      <c r="S90" s="131"/>
      <c r="T90" s="131"/>
      <c r="U90" s="131"/>
      <c r="V90" s="131"/>
      <c r="W90" s="131"/>
      <c r="X90" s="131"/>
      <c r="Y90" s="131"/>
      <c r="Z90" s="131"/>
    </row>
    <row r="91" ht="90.0" customHeight="true">
      <c r="A91" s="134" t="s">
        <v>2984</v>
      </c>
      <c r="B91" s="135" t="s">
        <v>2985</v>
      </c>
      <c r="C91" s="135" t="s">
        <v>2986</v>
      </c>
      <c r="D91" s="135" t="s">
        <v>2987</v>
      </c>
      <c r="E91" s="135" t="s">
        <v>2988</v>
      </c>
      <c r="F91" s="135" t="s">
        <v>2959</v>
      </c>
      <c r="G91" s="135" t="s">
        <v>3040</v>
      </c>
      <c r="H91" s="135" t="s">
        <v>2649</v>
      </c>
      <c r="I91" s="135"/>
      <c r="J91" s="135"/>
      <c r="K91" s="139" t="s">
        <v>225</v>
      </c>
      <c r="L91" s="134" t="s">
        <v>275</v>
      </c>
      <c r="M91" s="138" t="n">
        <v>46297.0</v>
      </c>
      <c r="N91" s="134" t="s">
        <v>276</v>
      </c>
      <c r="O91" s="131"/>
      <c r="P91" s="131"/>
      <c r="Q91" s="131"/>
      <c r="R91" s="131"/>
      <c r="S91" s="131"/>
      <c r="T91" s="131"/>
      <c r="U91" s="131"/>
      <c r="V91" s="131"/>
      <c r="W91" s="131"/>
      <c r="X91" s="131"/>
      <c r="Y91" s="131"/>
      <c r="Z91" s="131"/>
    </row>
    <row r="92" ht="90.0" customHeight="true">
      <c r="A92" s="134" t="s">
        <v>2990</v>
      </c>
      <c r="B92" s="135" t="s">
        <v>2991</v>
      </c>
      <c r="C92" s="135" t="s">
        <v>2992</v>
      </c>
      <c r="D92" s="135" t="s">
        <v>2964</v>
      </c>
      <c r="E92" s="135" t="s">
        <v>2993</v>
      </c>
      <c r="F92" s="135" t="s">
        <v>2959</v>
      </c>
      <c r="G92" s="135" t="s">
        <v>2994</v>
      </c>
      <c r="H92" s="135" t="s">
        <v>2649</v>
      </c>
      <c r="I92" s="135"/>
      <c r="J92" s="135"/>
      <c r="K92" s="139" t="s">
        <v>227</v>
      </c>
      <c r="L92" s="134" t="s">
        <v>275</v>
      </c>
      <c r="M92" s="138" t="n">
        <v>46297.0</v>
      </c>
      <c r="N92" s="134" t="s">
        <v>1163</v>
      </c>
      <c r="O92" s="131"/>
      <c r="P92" s="131"/>
      <c r="Q92" s="131"/>
      <c r="R92" s="131"/>
      <c r="S92" s="131"/>
      <c r="T92" s="131"/>
      <c r="U92" s="131"/>
      <c r="V92" s="131"/>
      <c r="W92" s="131"/>
      <c r="X92" s="131"/>
      <c r="Y92" s="131"/>
      <c r="Z92" s="131"/>
    </row>
    <row r="93" ht="90.0" customHeight="true">
      <c r="A93" s="134" t="s">
        <v>2995</v>
      </c>
      <c r="B93" s="135" t="s">
        <v>2996</v>
      </c>
      <c r="C93" s="135" t="s">
        <v>2997</v>
      </c>
      <c r="D93" s="135" t="s">
        <v>2998</v>
      </c>
      <c r="E93" s="135" t="s">
        <v>2999</v>
      </c>
      <c r="F93" s="135" t="s">
        <v>3000</v>
      </c>
      <c r="G93" s="135" t="s">
        <v>3001</v>
      </c>
      <c r="H93" s="135" t="s">
        <v>2649</v>
      </c>
      <c r="I93" s="135"/>
      <c r="J93" s="135"/>
      <c r="K93" s="139" t="s">
        <v>229</v>
      </c>
      <c r="L93" s="134" t="s">
        <v>275</v>
      </c>
      <c r="M93" s="138" t="n">
        <v>46297.0</v>
      </c>
      <c r="N93" s="134" t="s">
        <v>276</v>
      </c>
      <c r="O93" s="131"/>
      <c r="P93" s="131"/>
      <c r="Q93" s="131"/>
      <c r="R93" s="131"/>
      <c r="S93" s="131"/>
      <c r="T93" s="131"/>
      <c r="U93" s="131"/>
      <c r="V93" s="131"/>
      <c r="W93" s="131"/>
      <c r="X93" s="131"/>
      <c r="Y93" s="131"/>
      <c r="Z93" s="131"/>
    </row>
    <row r="94" ht="90.0" customHeight="true">
      <c r="A94" s="134" t="s">
        <v>3002</v>
      </c>
      <c r="B94" s="135" t="s">
        <v>3003</v>
      </c>
      <c r="C94" s="135" t="s">
        <v>3004</v>
      </c>
      <c r="D94" s="135" t="s">
        <v>3005</v>
      </c>
      <c r="E94" s="135" t="s">
        <v>3006</v>
      </c>
      <c r="F94" s="135" t="s">
        <v>3007</v>
      </c>
      <c r="G94" s="135" t="s">
        <v>3008</v>
      </c>
      <c r="H94" s="135" t="s">
        <v>3009</v>
      </c>
      <c r="I94" s="135"/>
      <c r="J94" s="135"/>
      <c r="K94" s="139" t="s">
        <v>225</v>
      </c>
      <c r="L94" s="134" t="s">
        <v>275</v>
      </c>
      <c r="M94" s="138" t="n">
        <v>46297.0</v>
      </c>
      <c r="N94" s="134" t="s">
        <v>276</v>
      </c>
      <c r="O94" s="131"/>
      <c r="P94" s="131"/>
      <c r="Q94" s="131"/>
      <c r="R94" s="131"/>
      <c r="S94" s="131"/>
      <c r="T94" s="131"/>
      <c r="U94" s="131"/>
      <c r="V94" s="131"/>
      <c r="W94" s="131"/>
      <c r="X94" s="131"/>
      <c r="Y94" s="131"/>
      <c r="Z94" s="131"/>
    </row>
    <row r="95" ht="90.0" customHeight="true">
      <c r="A95" s="134" t="s">
        <v>3010</v>
      </c>
      <c r="B95" s="135" t="s">
        <v>3011</v>
      </c>
      <c r="C95" s="135" t="s">
        <v>3012</v>
      </c>
      <c r="D95" s="135" t="s">
        <v>3013</v>
      </c>
      <c r="E95" s="135" t="s">
        <v>3014</v>
      </c>
      <c r="F95" s="135" t="s">
        <v>2959</v>
      </c>
      <c r="G95" s="135" t="s">
        <v>3082</v>
      </c>
      <c r="H95" s="135" t="s">
        <v>2649</v>
      </c>
      <c r="I95" s="135"/>
      <c r="J95" s="135"/>
      <c r="K95" s="139" t="s">
        <v>225</v>
      </c>
      <c r="L95" s="134" t="s">
        <v>275</v>
      </c>
      <c r="M95" s="138" t="n">
        <v>46297.0</v>
      </c>
      <c r="N95" s="134" t="s">
        <v>314</v>
      </c>
      <c r="O95" s="131"/>
      <c r="P95" s="131"/>
      <c r="Q95" s="131"/>
      <c r="R95" s="131"/>
      <c r="S95" s="131"/>
      <c r="T95" s="131"/>
      <c r="U95" s="131"/>
      <c r="V95" s="131"/>
      <c r="W95" s="131"/>
      <c r="X95" s="131"/>
      <c r="Y95" s="131"/>
      <c r="Z95" s="131"/>
    </row>
    <row r="96" ht="90.0" customHeight="true">
      <c r="A96" s="134" t="s">
        <v>3016</v>
      </c>
      <c r="B96" s="135" t="s">
        <v>3017</v>
      </c>
      <c r="C96" s="135" t="s">
        <v>3018</v>
      </c>
      <c r="D96" s="135" t="s">
        <v>3019</v>
      </c>
      <c r="E96" s="135" t="s">
        <v>3020</v>
      </c>
      <c r="F96" s="135" t="s">
        <v>2959</v>
      </c>
      <c r="G96" s="135" t="s">
        <v>3021</v>
      </c>
      <c r="H96" s="135" t="s">
        <v>2649</v>
      </c>
      <c r="I96" s="135"/>
      <c r="J96" s="135"/>
      <c r="K96" s="139" t="s">
        <v>225</v>
      </c>
      <c r="L96" s="134" t="s">
        <v>275</v>
      </c>
      <c r="M96" s="138" t="n">
        <v>46297.0</v>
      </c>
      <c r="N96" s="134" t="s">
        <v>314</v>
      </c>
      <c r="O96" s="131"/>
      <c r="P96" s="131"/>
      <c r="Q96" s="131"/>
      <c r="R96" s="131"/>
      <c r="S96" s="131"/>
      <c r="T96" s="131"/>
      <c r="U96" s="131"/>
      <c r="V96" s="131"/>
      <c r="W96" s="131"/>
      <c r="X96" s="131"/>
      <c r="Y96" s="131"/>
      <c r="Z96" s="131"/>
    </row>
    <row r="97" ht="90.0" customHeight="true">
      <c r="A97" s="134" t="s">
        <v>3022</v>
      </c>
      <c r="B97" s="135" t="s">
        <v>3023</v>
      </c>
      <c r="C97" s="135" t="s">
        <v>3024</v>
      </c>
      <c r="D97" s="135" t="s">
        <v>3025</v>
      </c>
      <c r="E97" s="135" t="s">
        <v>3020</v>
      </c>
      <c r="F97" s="135" t="s">
        <v>2959</v>
      </c>
      <c r="G97" s="135" t="s">
        <v>3026</v>
      </c>
      <c r="H97" s="135" t="s">
        <v>2649</v>
      </c>
      <c r="I97" s="135"/>
      <c r="J97" s="135"/>
      <c r="K97" s="139" t="s">
        <v>225</v>
      </c>
      <c r="L97" s="134" t="s">
        <v>275</v>
      </c>
      <c r="M97" s="138" t="n">
        <v>46297.0</v>
      </c>
      <c r="N97" s="134" t="s">
        <v>314</v>
      </c>
      <c r="O97" s="131"/>
      <c r="P97" s="131"/>
      <c r="Q97" s="131"/>
      <c r="R97" s="131"/>
      <c r="S97" s="131"/>
      <c r="T97" s="131"/>
      <c r="U97" s="131"/>
      <c r="V97" s="131"/>
      <c r="W97" s="131"/>
      <c r="X97" s="131"/>
      <c r="Y97" s="131"/>
      <c r="Z97" s="131"/>
    </row>
    <row r="98" ht="90.0" customHeight="true">
      <c r="A98" s="134" t="s">
        <v>3027</v>
      </c>
      <c r="B98" s="135" t="s">
        <v>3028</v>
      </c>
      <c r="C98" s="135" t="s">
        <v>3029</v>
      </c>
      <c r="D98" s="135" t="s">
        <v>3030</v>
      </c>
      <c r="E98" s="135" t="s">
        <v>3031</v>
      </c>
      <c r="F98" s="135" t="s">
        <v>2959</v>
      </c>
      <c r="G98" s="135" t="s">
        <v>3032</v>
      </c>
      <c r="H98" s="135" t="s">
        <v>2649</v>
      </c>
      <c r="I98" s="135"/>
      <c r="J98" s="135"/>
      <c r="K98" s="139" t="s">
        <v>225</v>
      </c>
      <c r="L98" s="134" t="s">
        <v>275</v>
      </c>
      <c r="M98" s="138" t="n">
        <v>46297.0</v>
      </c>
      <c r="N98" s="134" t="s">
        <v>314</v>
      </c>
      <c r="O98" s="131"/>
      <c r="P98" s="131"/>
      <c r="Q98" s="131"/>
      <c r="R98" s="131"/>
      <c r="S98" s="131"/>
      <c r="T98" s="131"/>
      <c r="U98" s="131"/>
      <c r="V98" s="131"/>
      <c r="W98" s="131"/>
      <c r="X98" s="131"/>
      <c r="Y98" s="131"/>
      <c r="Z98" s="131"/>
    </row>
    <row r="99" ht="90.0" customHeight="true">
      <c r="A99" s="134" t="s">
        <v>3033</v>
      </c>
      <c r="B99" s="135" t="s">
        <v>3034</v>
      </c>
      <c r="C99" s="135" t="s">
        <v>3035</v>
      </c>
      <c r="D99" s="135" t="s">
        <v>3036</v>
      </c>
      <c r="E99" s="135" t="s">
        <v>3037</v>
      </c>
      <c r="F99" s="135" t="s">
        <v>2959</v>
      </c>
      <c r="G99" s="135" t="s">
        <v>3038</v>
      </c>
      <c r="H99" s="135" t="s">
        <v>2649</v>
      </c>
      <c r="I99" s="135"/>
      <c r="J99" s="135"/>
      <c r="K99" s="139" t="s">
        <v>225</v>
      </c>
      <c r="L99" s="134" t="s">
        <v>275</v>
      </c>
      <c r="M99" s="138" t="n">
        <v>46297.0</v>
      </c>
      <c r="N99" s="134" t="s">
        <v>314</v>
      </c>
      <c r="O99" s="131"/>
      <c r="P99" s="131"/>
      <c r="Q99" s="131"/>
      <c r="R99" s="131"/>
      <c r="S99" s="131"/>
      <c r="T99" s="131"/>
      <c r="U99" s="131"/>
      <c r="V99" s="131"/>
      <c r="W99" s="131"/>
      <c r="X99" s="131"/>
      <c r="Y99" s="131"/>
      <c r="Z99" s="131"/>
    </row>
    <row r="100" ht="90.0" customHeight="true">
      <c r="A100" s="134" t="s">
        <v>3042</v>
      </c>
      <c r="B100" s="135" t="s">
        <v>3043</v>
      </c>
      <c r="C100" s="135" t="s">
        <v>3044</v>
      </c>
      <c r="D100" s="135" t="s">
        <v>3045</v>
      </c>
      <c r="E100" s="135" t="s">
        <v>3083</v>
      </c>
      <c r="F100" s="135" t="s">
        <v>3007</v>
      </c>
      <c r="G100" s="135" t="s">
        <v>3047</v>
      </c>
      <c r="H100" s="135" t="s">
        <v>3009</v>
      </c>
      <c r="I100" s="135"/>
      <c r="J100" s="135"/>
      <c r="K100" s="139" t="s">
        <v>225</v>
      </c>
      <c r="L100" s="134" t="s">
        <v>275</v>
      </c>
      <c r="M100" s="138" t="n">
        <v>46297.0</v>
      </c>
      <c r="N100" s="134" t="s">
        <v>276</v>
      </c>
      <c r="O100" s="131"/>
      <c r="P100" s="131"/>
      <c r="Q100" s="131"/>
      <c r="R100" s="131"/>
      <c r="S100" s="131"/>
      <c r="T100" s="131"/>
      <c r="U100" s="131"/>
      <c r="V100" s="131"/>
      <c r="W100" s="131"/>
      <c r="X100" s="131"/>
      <c r="Y100" s="131"/>
      <c r="Z100" s="131"/>
    </row>
    <row r="101" ht="90.0" customHeight="true">
      <c r="A101" s="134" t="s">
        <v>3048</v>
      </c>
      <c r="B101" s="135" t="s">
        <v>3049</v>
      </c>
      <c r="C101" s="135" t="s">
        <v>3050</v>
      </c>
      <c r="D101" s="135" t="s">
        <v>3051</v>
      </c>
      <c r="E101" s="135" t="s">
        <v>3052</v>
      </c>
      <c r="F101" s="135" t="s">
        <v>3007</v>
      </c>
      <c r="G101" s="135" t="s">
        <v>3053</v>
      </c>
      <c r="H101" s="135" t="s">
        <v>3009</v>
      </c>
      <c r="I101" s="135"/>
      <c r="J101" s="135"/>
      <c r="K101" s="139" t="s">
        <v>225</v>
      </c>
      <c r="L101" s="134" t="s">
        <v>275</v>
      </c>
      <c r="M101" s="138" t="n">
        <v>46297.0</v>
      </c>
      <c r="N101" s="134" t="s">
        <v>276</v>
      </c>
      <c r="O101" s="131"/>
      <c r="P101" s="131"/>
      <c r="Q101" s="131"/>
      <c r="R101" s="131"/>
      <c r="S101" s="131"/>
      <c r="T101" s="131"/>
      <c r="U101" s="131"/>
      <c r="V101" s="131"/>
      <c r="W101" s="131"/>
      <c r="X101" s="131"/>
      <c r="Y101" s="131"/>
      <c r="Z101" s="131"/>
    </row>
    <row r="102" ht="90.0" customHeight="true">
      <c r="A102" s="134" t="s">
        <v>3054</v>
      </c>
      <c r="B102" s="135" t="s">
        <v>3055</v>
      </c>
      <c r="C102" s="135" t="s">
        <v>3056</v>
      </c>
      <c r="D102" s="135" t="s">
        <v>3057</v>
      </c>
      <c r="E102" s="135" t="s">
        <v>3052</v>
      </c>
      <c r="F102" s="135" t="s">
        <v>3007</v>
      </c>
      <c r="G102" s="135" t="s">
        <v>3058</v>
      </c>
      <c r="H102" s="135" t="s">
        <v>3009</v>
      </c>
      <c r="I102" s="135"/>
      <c r="J102" s="135"/>
      <c r="K102" s="139" t="s">
        <v>225</v>
      </c>
      <c r="L102" s="134" t="s">
        <v>275</v>
      </c>
      <c r="M102" s="138" t="n">
        <v>46297.0</v>
      </c>
      <c r="N102" s="134" t="s">
        <v>276</v>
      </c>
      <c r="O102" s="131"/>
      <c r="P102" s="131"/>
      <c r="Q102" s="131"/>
      <c r="R102" s="131"/>
      <c r="S102" s="131"/>
      <c r="T102" s="131"/>
      <c r="U102" s="131"/>
      <c r="V102" s="131"/>
      <c r="W102" s="131"/>
      <c r="X102" s="131"/>
      <c r="Y102" s="131"/>
      <c r="Z102" s="131"/>
    </row>
    <row r="103" ht="90.0" customHeight="true">
      <c r="A103" s="134" t="s">
        <v>3059</v>
      </c>
      <c r="B103" s="135" t="s">
        <v>3060</v>
      </c>
      <c r="C103" s="135" t="s">
        <v>3061</v>
      </c>
      <c r="D103" s="135" t="s">
        <v>3062</v>
      </c>
      <c r="E103" s="135" t="s">
        <v>3052</v>
      </c>
      <c r="F103" s="135" t="s">
        <v>3007</v>
      </c>
      <c r="G103" s="135" t="s">
        <v>3063</v>
      </c>
      <c r="H103" s="135" t="s">
        <v>3009</v>
      </c>
      <c r="I103" s="135"/>
      <c r="J103" s="135"/>
      <c r="K103" s="139" t="s">
        <v>225</v>
      </c>
      <c r="L103" s="134" t="s">
        <v>275</v>
      </c>
      <c r="M103" s="138" t="n">
        <v>46297.0</v>
      </c>
      <c r="N103" s="134" t="s">
        <v>276</v>
      </c>
      <c r="O103" s="131"/>
      <c r="P103" s="131"/>
      <c r="Q103" s="131"/>
      <c r="R103" s="131"/>
      <c r="S103" s="131"/>
      <c r="T103" s="131"/>
      <c r="U103" s="131"/>
      <c r="V103" s="131"/>
      <c r="W103" s="131"/>
      <c r="X103" s="131"/>
      <c r="Y103" s="131"/>
      <c r="Z103" s="131"/>
    </row>
    <row r="104" ht="90.0" customHeight="true">
      <c r="A104" s="134" t="s">
        <v>3064</v>
      </c>
      <c r="B104" s="135" t="s">
        <v>3065</v>
      </c>
      <c r="C104" s="135" t="s">
        <v>3066</v>
      </c>
      <c r="D104" s="135" t="s">
        <v>3067</v>
      </c>
      <c r="E104" s="135" t="s">
        <v>3052</v>
      </c>
      <c r="F104" s="135" t="s">
        <v>3007</v>
      </c>
      <c r="G104" s="135" t="s">
        <v>3068</v>
      </c>
      <c r="H104" s="135" t="s">
        <v>3009</v>
      </c>
      <c r="I104" s="135"/>
      <c r="J104" s="135"/>
      <c r="K104" s="139" t="s">
        <v>225</v>
      </c>
      <c r="L104" s="134" t="s">
        <v>275</v>
      </c>
      <c r="M104" s="138" t="n">
        <v>46297.0</v>
      </c>
      <c r="N104" s="134" t="s">
        <v>276</v>
      </c>
      <c r="O104" s="131"/>
      <c r="P104" s="131"/>
      <c r="Q104" s="131"/>
      <c r="R104" s="131"/>
      <c r="S104" s="131"/>
      <c r="T104" s="131"/>
      <c r="U104" s="131"/>
      <c r="V104" s="131"/>
      <c r="W104" s="131"/>
      <c r="X104" s="131"/>
      <c r="Y104" s="131"/>
      <c r="Z104" s="131"/>
    </row>
    <row r="105" ht="90.0" customHeight="true">
      <c r="A105" s="134" t="s">
        <v>3069</v>
      </c>
      <c r="B105" s="135" t="s">
        <v>3070</v>
      </c>
      <c r="C105" s="135" t="s">
        <v>3071</v>
      </c>
      <c r="D105" s="135" t="s">
        <v>3072</v>
      </c>
      <c r="E105" s="135" t="s">
        <v>3073</v>
      </c>
      <c r="F105" s="135" t="s">
        <v>3007</v>
      </c>
      <c r="G105" s="135" t="s">
        <v>3074</v>
      </c>
      <c r="H105" s="135" t="s">
        <v>3075</v>
      </c>
      <c r="I105" s="135"/>
      <c r="J105" s="135"/>
      <c r="K105" s="139" t="s">
        <v>225</v>
      </c>
      <c r="L105" s="134" t="s">
        <v>275</v>
      </c>
      <c r="M105" s="138" t="n">
        <v>46297.0</v>
      </c>
      <c r="N105" s="134" t="s">
        <v>276</v>
      </c>
      <c r="O105" s="131"/>
      <c r="P105" s="131"/>
      <c r="Q105" s="131"/>
      <c r="R105" s="131"/>
      <c r="S105" s="131"/>
      <c r="T105" s="131"/>
      <c r="U105" s="131"/>
      <c r="V105" s="131"/>
      <c r="W105" s="131"/>
      <c r="X105" s="131"/>
      <c r="Y105" s="131"/>
      <c r="Z105" s="131"/>
    </row>
    <row r="106" ht="90.0" customHeight="true">
      <c r="A106" s="134" t="s">
        <v>3076</v>
      </c>
      <c r="B106" s="135" t="s">
        <v>3077</v>
      </c>
      <c r="C106" s="135" t="s">
        <v>3078</v>
      </c>
      <c r="D106" s="135" t="s">
        <v>3079</v>
      </c>
      <c r="E106" s="135" t="s">
        <v>3080</v>
      </c>
      <c r="F106" s="135" t="s">
        <v>3007</v>
      </c>
      <c r="G106" s="135" t="s">
        <v>3081</v>
      </c>
      <c r="H106" s="135" t="s">
        <v>3075</v>
      </c>
      <c r="I106" s="135"/>
      <c r="J106" s="135"/>
      <c r="K106" s="139" t="s">
        <v>225</v>
      </c>
      <c r="L106" s="134" t="s">
        <v>275</v>
      </c>
      <c r="M106" s="138" t="n">
        <v>46297.0</v>
      </c>
      <c r="N106" s="134" t="s">
        <v>276</v>
      </c>
      <c r="O106" s="131"/>
      <c r="P106" s="131"/>
      <c r="Q106" s="131"/>
      <c r="R106" s="131"/>
      <c r="S106" s="131"/>
      <c r="T106" s="131"/>
      <c r="U106" s="131"/>
      <c r="V106" s="131"/>
      <c r="W106" s="131"/>
      <c r="X106" s="131"/>
      <c r="Y106" s="131"/>
      <c r="Z106" s="131"/>
    </row>
    <row r="107" ht="21.75" customHeight="true">
      <c r="A107" s="133" t="s">
        <v>1870</v>
      </c>
      <c r="B107" s="129"/>
      <c r="C107" s="129"/>
      <c r="D107" s="129"/>
      <c r="E107" s="129"/>
      <c r="F107" s="129"/>
      <c r="G107" s="129"/>
      <c r="H107" s="129"/>
      <c r="I107" s="129"/>
      <c r="J107" s="129"/>
      <c r="K107" s="129"/>
      <c r="L107" s="129"/>
      <c r="M107" s="129"/>
      <c r="N107" s="130"/>
      <c r="O107" s="131"/>
      <c r="P107" s="131"/>
      <c r="Q107" s="131"/>
      <c r="R107" s="131"/>
      <c r="S107" s="131"/>
      <c r="T107" s="131"/>
      <c r="U107" s="131"/>
      <c r="V107" s="131"/>
      <c r="W107" s="131"/>
      <c r="X107" s="131"/>
      <c r="Y107" s="131"/>
      <c r="Z107" s="131"/>
    </row>
    <row r="108" ht="90.0" customHeight="true">
      <c r="A108" s="134" t="s">
        <v>1871</v>
      </c>
      <c r="B108" s="135" t="s">
        <v>1872</v>
      </c>
      <c r="C108" s="135" t="s">
        <v>1873</v>
      </c>
      <c r="D108" s="135" t="s">
        <v>1874</v>
      </c>
      <c r="E108" s="135" t="s">
        <v>1875</v>
      </c>
      <c r="F108" s="135" t="s">
        <v>1876</v>
      </c>
      <c r="G108" s="135" t="s">
        <v>1877</v>
      </c>
      <c r="H108" s="135" t="s">
        <v>1878</v>
      </c>
      <c r="I108" s="135"/>
      <c r="J108" s="135"/>
      <c r="K108" s="137" t="s">
        <v>225</v>
      </c>
      <c r="L108" s="134" t="s">
        <v>1341</v>
      </c>
      <c r="M108" s="138" t="n">
        <v>46288.0</v>
      </c>
      <c r="N108" s="134" t="s">
        <v>1195</v>
      </c>
      <c r="O108" s="131"/>
      <c r="P108" s="131"/>
      <c r="Q108" s="131"/>
      <c r="R108" s="131"/>
      <c r="S108" s="131"/>
      <c r="T108" s="131"/>
      <c r="U108" s="131"/>
      <c r="V108" s="131"/>
      <c r="W108" s="131"/>
      <c r="X108" s="131"/>
      <c r="Y108" s="131"/>
      <c r="Z108" s="131"/>
    </row>
    <row r="109" ht="90.0" customHeight="true">
      <c r="A109" s="134" t="s">
        <v>1879</v>
      </c>
      <c r="B109" s="135" t="s">
        <v>1880</v>
      </c>
      <c r="C109" s="135" t="s">
        <v>1881</v>
      </c>
      <c r="D109" s="135" t="s">
        <v>1882</v>
      </c>
      <c r="E109" s="135" t="s">
        <v>1883</v>
      </c>
      <c r="F109" s="135" t="s">
        <v>1884</v>
      </c>
      <c r="G109" s="135" t="s">
        <v>1885</v>
      </c>
      <c r="H109" s="135" t="s">
        <v>1886</v>
      </c>
      <c r="I109" s="135"/>
      <c r="J109" s="135"/>
      <c r="K109" s="137" t="s">
        <v>225</v>
      </c>
      <c r="L109" s="134" t="s">
        <v>1341</v>
      </c>
      <c r="M109" s="138" t="n">
        <v>46288.0</v>
      </c>
      <c r="N109" s="134" t="s">
        <v>1195</v>
      </c>
      <c r="O109" s="131"/>
      <c r="P109" s="131"/>
      <c r="Q109" s="131"/>
      <c r="R109" s="131"/>
      <c r="S109" s="131"/>
      <c r="T109" s="131"/>
      <c r="U109" s="131"/>
      <c r="V109" s="131"/>
      <c r="W109" s="131"/>
      <c r="X109" s="131"/>
      <c r="Y109" s="131"/>
      <c r="Z109" s="131"/>
    </row>
    <row r="110" ht="90.0" customHeight="true">
      <c r="A110" s="134" t="s">
        <v>1887</v>
      </c>
      <c r="B110" s="135" t="s">
        <v>1888</v>
      </c>
      <c r="C110" s="135" t="s">
        <v>1889</v>
      </c>
      <c r="D110" s="135" t="s">
        <v>1890</v>
      </c>
      <c r="E110" s="135" t="s">
        <v>1891</v>
      </c>
      <c r="F110" s="135" t="s">
        <v>1892</v>
      </c>
      <c r="G110" s="135" t="s">
        <v>1893</v>
      </c>
      <c r="H110" s="135" t="s">
        <v>1894</v>
      </c>
      <c r="I110" s="135"/>
      <c r="J110" s="135"/>
      <c r="K110" s="139" t="s">
        <v>227</v>
      </c>
      <c r="L110" s="134" t="s">
        <v>1341</v>
      </c>
      <c r="M110" s="138" t="n">
        <v>46288.0</v>
      </c>
      <c r="N110" s="134" t="s">
        <v>1195</v>
      </c>
      <c r="O110" s="131"/>
      <c r="P110" s="131"/>
      <c r="Q110" s="131"/>
      <c r="R110" s="131"/>
      <c r="S110" s="131"/>
      <c r="T110" s="131"/>
      <c r="U110" s="131"/>
      <c r="V110" s="131"/>
      <c r="W110" s="131"/>
      <c r="X110" s="131"/>
      <c r="Y110" s="131"/>
      <c r="Z110" s="131"/>
    </row>
    <row r="111" ht="90.0" customHeight="true">
      <c r="A111" s="134" t="s">
        <v>1895</v>
      </c>
      <c r="B111" s="135" t="s">
        <v>1896</v>
      </c>
      <c r="C111" s="135" t="s">
        <v>1897</v>
      </c>
      <c r="D111" s="135" t="s">
        <v>1898</v>
      </c>
      <c r="E111" s="135" t="s">
        <v>1899</v>
      </c>
      <c r="F111" s="135" t="s">
        <v>1900</v>
      </c>
      <c r="G111" s="135" t="s">
        <v>1901</v>
      </c>
      <c r="H111" s="135" t="s">
        <v>1902</v>
      </c>
      <c r="I111" s="135"/>
      <c r="J111" s="135"/>
      <c r="K111" s="139" t="s">
        <v>227</v>
      </c>
      <c r="L111" s="134" t="s">
        <v>1341</v>
      </c>
      <c r="M111" s="138" t="n">
        <v>46288.0</v>
      </c>
      <c r="N111" s="134" t="s">
        <v>345</v>
      </c>
      <c r="O111" s="131"/>
      <c r="P111" s="131"/>
      <c r="Q111" s="131"/>
      <c r="R111" s="131"/>
      <c r="S111" s="131"/>
      <c r="T111" s="131"/>
      <c r="U111" s="131"/>
      <c r="V111" s="131"/>
      <c r="W111" s="131"/>
      <c r="X111" s="131"/>
      <c r="Y111" s="131"/>
      <c r="Z111" s="131"/>
    </row>
    <row r="112" ht="15.75" customHeight="true">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row>
    <row r="113" ht="15.75" customHeight="true">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row>
    <row r="114" ht="15.75" customHeight="true">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row>
    <row r="115" ht="15.75" customHeight="true">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row>
    <row r="116" ht="15.75" customHeight="true">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row>
    <row r="117" ht="15.75" customHeight="true">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row>
    <row r="118" ht="15.75" customHeight="true">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row>
    <row r="119" ht="15.75" customHeight="true">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row>
    <row r="120" ht="15.75" customHeight="true">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row>
    <row r="121" ht="15.75" customHeight="true">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row>
    <row r="122" ht="15.75" customHeight="true">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row>
    <row r="123" ht="15.75" customHeight="true">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row>
    <row r="124" ht="15.75" customHeight="true">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row>
    <row r="125" ht="15.75" customHeight="true">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row>
    <row r="126" ht="15.75" customHeight="true">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row>
    <row r="127" ht="15.75" customHeight="true">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row>
    <row r="128" ht="15.75" customHeight="true">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row>
    <row r="129" ht="15.75" customHeight="true">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row>
    <row r="130" ht="15.75" customHeight="true">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row>
    <row r="131" ht="15.75" customHeight="true">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row>
    <row r="132" ht="15.75" customHeight="true">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row>
    <row r="133" ht="15.75" customHeight="true">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row>
    <row r="134" ht="15.75" customHeight="true">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row>
    <row r="135" ht="15.75" customHeight="true">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row>
    <row r="136" ht="15.75" customHeight="true">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row>
    <row r="137" ht="15.75" customHeight="true">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row>
    <row r="138" ht="15.75" customHeight="true">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row>
    <row r="139" ht="15.75" customHeight="true">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row>
    <row r="140" ht="15.75" customHeight="true">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row>
    <row r="141" ht="15.75" customHeight="true">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row>
    <row r="142" ht="15.75" customHeight="true">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row>
    <row r="143" ht="15.75" customHeight="true">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row>
    <row r="144" ht="15.75" customHeight="true">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row>
    <row r="145" ht="15.75" customHeight="true">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row>
    <row r="146" ht="15.75" customHeight="true">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row>
    <row r="147" ht="15.75" customHeight="true">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row>
    <row r="148" ht="15.75" customHeight="true">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row>
    <row r="149" ht="15.75" customHeight="true">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row>
    <row r="150" ht="15.75" customHeight="true">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row>
    <row r="151" ht="15.75" customHeight="true">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row>
    <row r="152" ht="15.75" customHeight="true">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row>
    <row r="153" ht="15.75" customHeight="true">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row>
    <row r="154" ht="15.75" customHeight="true">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row>
    <row r="155" ht="15.75" customHeight="true">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row>
    <row r="156" ht="15.75" customHeight="true">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row>
    <row r="157" ht="15.75" customHeight="true">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row>
    <row r="158" ht="15.75" customHeight="true">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row>
    <row r="159" ht="15.75" customHeight="true">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row>
    <row r="160" ht="15.75" customHeight="true">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row>
    <row r="161" ht="15.75" customHeight="true">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row>
    <row r="162" ht="15.75" customHeight="true">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row>
    <row r="163" ht="15.75" customHeight="true">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row>
    <row r="164" ht="15.75" customHeight="true">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row>
    <row r="165" ht="15.75" customHeight="true">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row>
    <row r="166" ht="15.75" customHeight="true">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row>
    <row r="167" ht="15.75" customHeight="true">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row>
    <row r="168" ht="15.75" customHeight="true">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row>
    <row r="169" ht="15.75" customHeight="true">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row>
    <row r="170" ht="15.75" customHeight="true">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row>
    <row r="171" ht="15.75" customHeight="true">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row>
    <row r="172" ht="15.75" customHeight="true">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row>
    <row r="173" ht="15.75" customHeight="true">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row>
    <row r="174" ht="15.75" customHeight="true">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row>
    <row r="175" ht="15.75" customHeight="true">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row>
    <row r="176" ht="15.75" customHeight="true">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row>
    <row r="177" ht="15.75" customHeight="true">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row>
    <row r="178" ht="15.75" customHeight="true">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row>
    <row r="179" ht="15.75" customHeight="true">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row>
    <row r="180" ht="15.75" customHeight="true">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row>
    <row r="181" ht="15.75" customHeight="true">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row>
    <row r="182" ht="15.75" customHeight="true">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row>
    <row r="183" ht="15.75" customHeight="true">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row>
    <row r="184" ht="15.75" customHeight="true">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row>
    <row r="185" ht="15.75" customHeight="true">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row>
    <row r="186" ht="15.75" customHeight="true">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row>
    <row r="187" ht="15.75" customHeight="true">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row>
    <row r="188" ht="15.75" customHeight="true">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row>
    <row r="189" ht="15.75" customHeight="true">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row>
    <row r="190" ht="15.75" customHeight="true">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row>
    <row r="191" ht="15.75" customHeight="true">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row>
    <row r="192" ht="15.75" customHeight="true">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row>
    <row r="193" ht="15.75" customHeight="true">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row>
    <row r="194" ht="15.75" customHeight="true">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row>
    <row r="195" ht="15.75" customHeight="true">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row>
    <row r="196" ht="15.75" customHeight="true">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row>
    <row r="197" ht="15.75" customHeight="true">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row>
    <row r="198" ht="15.75" customHeight="true">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row>
    <row r="199" ht="15.75" customHeight="true">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row>
    <row r="200" ht="15.75" customHeight="true">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row>
    <row r="201" ht="15.75" customHeight="true">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row>
    <row r="202" ht="15.75" customHeight="true">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row>
    <row r="203" ht="15.75" customHeight="true">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row>
    <row r="204" ht="15.75" customHeight="true">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row>
    <row r="205" ht="15.75" customHeight="true">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row>
    <row r="206" ht="15.75" customHeight="true">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row>
    <row r="207" ht="15.75" customHeight="true">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row>
    <row r="208" ht="15.75" customHeight="true">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row>
    <row r="209" ht="15.75" customHeight="true">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row>
    <row r="210" ht="15.75" customHeight="true">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row>
    <row r="211" ht="15.75" customHeight="true">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row>
    <row r="212" ht="15.75" customHeight="true">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row>
    <row r="213" ht="15.75" customHeight="true">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row>
    <row r="214" ht="15.75" customHeight="true">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row>
    <row r="215" ht="15.75" customHeight="true">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row>
    <row r="216" ht="15.75" customHeight="true">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row>
    <row r="217" ht="15.75" customHeight="true">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row>
    <row r="218" ht="15.75" customHeight="true">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row>
    <row r="219" ht="15.75" customHeight="true">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row>
    <row r="220" ht="15.75" customHeight="true">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row>
    <row r="221" ht="15.75" customHeight="true">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row>
    <row r="222" ht="15.75" customHeight="true">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row>
    <row r="223" ht="15.75" customHeight="true">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row>
    <row r="224" ht="15.75" customHeight="true">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row>
    <row r="225" ht="15.75" customHeight="true">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row>
    <row r="226" ht="15.75" customHeight="true">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row>
    <row r="227" ht="15.75" customHeight="true">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row>
    <row r="228" ht="15.75" customHeight="true">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row>
    <row r="229" ht="15.75" customHeight="true">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row>
    <row r="230" ht="15.75" customHeight="true">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row>
    <row r="231" ht="15.75" customHeight="true">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row>
    <row r="232" ht="15.75" customHeight="true">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row>
    <row r="233" ht="15.75" customHeight="true">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row>
    <row r="234" ht="15.75" customHeight="true">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row>
    <row r="235" ht="15.75" customHeight="true">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row>
    <row r="236" ht="15.75" customHeight="true">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row>
    <row r="237" ht="15.75" customHeight="true">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row>
    <row r="238" ht="15.75" customHeight="true">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row>
    <row r="239" ht="15.75" customHeight="true">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row>
    <row r="240" ht="15.75" customHeight="true">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row>
    <row r="241" ht="15.75" customHeight="true">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row>
    <row r="242" ht="15.75" customHeight="true">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row>
    <row r="243" ht="15.75" customHeight="true">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row>
    <row r="244" ht="15.75" customHeight="true">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row>
    <row r="245" ht="15.75" customHeight="true">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row>
    <row r="246" ht="15.75" customHeight="true">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row>
    <row r="247" ht="15.75" customHeight="true">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row>
    <row r="248" ht="15.75" customHeight="true">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row>
    <row r="249" ht="15.75" customHeight="true">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row>
    <row r="250" ht="15.75" customHeight="true">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row>
    <row r="251" ht="15.75" customHeight="true">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row>
    <row r="252" ht="15.75" customHeight="true">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row>
    <row r="253" ht="15.75" customHeight="true">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row>
    <row r="254" ht="15.75" customHeight="true">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row>
    <row r="255" ht="15.75" customHeight="true">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row>
    <row r="256" ht="15.75" customHeight="true">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row>
    <row r="257" ht="15.75" customHeight="true">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row>
    <row r="258" ht="15.75" customHeight="true">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row>
    <row r="259" ht="15.75" customHeight="true">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row>
    <row r="260" ht="15.75" customHeight="true">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row>
    <row r="261" ht="15.75" customHeight="true">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row>
    <row r="262" ht="15.75" customHeight="true">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row>
    <row r="263" ht="15.75" customHeight="true">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row>
    <row r="264" ht="15.75" customHeight="true">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row>
    <row r="265" ht="15.75" customHeight="true">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row>
    <row r="266" ht="15.75" customHeight="true">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row>
    <row r="267" ht="15.75" customHeight="true">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row>
    <row r="268" ht="15.75" customHeight="true">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row>
    <row r="269" ht="15.75" customHeight="true">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row>
    <row r="270" ht="15.75" customHeight="true">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row>
    <row r="271" ht="15.75" customHeight="true">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row>
    <row r="272" ht="15.75" customHeight="true">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row>
    <row r="273" ht="15.75" customHeight="true">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row>
    <row r="274" ht="15.75" customHeight="true">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row>
    <row r="275" ht="15.75" customHeight="true">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row>
    <row r="276" ht="15.75" customHeight="true">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row>
    <row r="277" ht="15.75" customHeight="true">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row>
    <row r="278" ht="15.75" customHeight="true">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row>
    <row r="279" ht="15.75" customHeight="true">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row>
    <row r="280" ht="15.75" customHeight="true">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row>
    <row r="281" ht="15.75" customHeight="true">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row>
    <row r="282" ht="15.75" customHeight="true">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row>
    <row r="283" ht="15.75" customHeight="true">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row>
    <row r="284" ht="15.75" customHeight="true">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row>
    <row r="285" ht="15.75" customHeight="true">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row>
    <row r="286" ht="15.75" customHeight="true">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row>
    <row r="287" ht="15.75" customHeight="true">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row>
    <row r="288" ht="15.75" customHeight="true">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row>
    <row r="289" ht="15.75" customHeight="true">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row>
    <row r="290" ht="15.75" customHeight="true">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row>
    <row r="291" ht="15.75" customHeight="true">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row>
    <row r="292" ht="15.75" customHeight="true">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row>
    <row r="293" ht="15.75" customHeight="true">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row>
    <row r="294" ht="15.75" customHeight="true">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row>
    <row r="295" ht="15.75" customHeight="true">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row>
    <row r="296" ht="15.75" customHeight="true">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row>
    <row r="297" ht="15.75" customHeight="true">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row>
    <row r="298" ht="15.75" customHeight="true">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row>
    <row r="299" ht="15.75" customHeight="true">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row>
    <row r="300" ht="15.75" customHeight="true">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row>
    <row r="301" ht="15.75" customHeight="true">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row>
    <row r="302" ht="15.75" customHeight="true">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row>
    <row r="303" ht="15.75" customHeight="true">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row>
    <row r="304" ht="15.75" customHeight="true">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row>
    <row r="305" ht="15.75" customHeight="true">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row>
    <row r="306" ht="15.75" customHeight="true">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row>
    <row r="307" ht="15.75" customHeight="true">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row>
    <row r="308" ht="15.75" customHeight="true">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row>
    <row r="309" ht="15.75" customHeight="true">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row>
    <row r="310" ht="15.75" customHeight="true">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row>
    <row r="311" ht="15.75" customHeight="true">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row>
    <row r="312" ht="15.75" customHeight="true">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row>
    <row r="313" ht="15.75" customHeight="true">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row>
    <row r="314" ht="15.75" customHeight="true">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row>
    <row r="315" ht="15.75" customHeight="true">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row>
    <row r="316" ht="15.75" customHeight="true">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row>
    <row r="317" ht="15.75" customHeight="true">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row>
    <row r="318" ht="15.75" customHeight="true">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row>
    <row r="319" ht="15.75" customHeight="true">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row>
    <row r="320" ht="15.75" customHeight="true">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row>
    <row r="321" ht="15.75" customHeight="true">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row>
    <row r="322" ht="15.75" customHeight="true">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row>
    <row r="323" ht="15.75" customHeight="true">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row>
    <row r="324" ht="15.75" customHeight="true">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row>
    <row r="325" ht="15.75" customHeight="true">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row>
    <row r="326" ht="15.75" customHeight="true">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row>
    <row r="327" ht="15.75" customHeight="true">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row>
    <row r="328" ht="15.75" customHeight="true">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row>
    <row r="329" ht="15.75" customHeight="true">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row>
    <row r="330" ht="15.75" customHeight="true">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row>
    <row r="331" ht="15.75" customHeight="true">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row>
    <row r="332" ht="15.75" customHeight="true">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row>
    <row r="333" ht="15.75" customHeight="true">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row>
    <row r="334" ht="15.75" customHeight="true">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row>
    <row r="335" ht="15.75" customHeight="true">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row>
    <row r="336" ht="15.75" customHeight="true">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row>
    <row r="337" ht="15.75" customHeight="true">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row>
    <row r="338" ht="15.75" customHeight="true">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row>
    <row r="339" ht="15.75" customHeight="true">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row>
    <row r="340" ht="15.75" customHeight="true">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row>
    <row r="341" ht="15.75" customHeight="true">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row>
    <row r="342" ht="15.75" customHeight="true">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row>
    <row r="343" ht="15.75" customHeight="true">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row>
    <row r="344" ht="15.75" customHeight="true">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row>
    <row r="345" ht="15.75" customHeight="true">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row>
    <row r="346" ht="15.75" customHeight="true">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row>
    <row r="347" ht="15.75" customHeight="true">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row>
    <row r="348" ht="15.75" customHeight="true">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row>
    <row r="349" ht="15.75" customHeight="true">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row>
    <row r="350" ht="15.75" customHeight="true">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row>
    <row r="351" ht="15.75" customHeight="true">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row>
    <row r="352" ht="15.75" customHeight="true">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row>
    <row r="353" ht="15.75" customHeight="true">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row>
    <row r="354" ht="15.75" customHeight="true">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row>
    <row r="355" ht="15.75" customHeight="true">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row>
    <row r="356" ht="15.75" customHeight="true">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row>
    <row r="357" ht="15.75" customHeight="true">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row>
    <row r="358" ht="15.75" customHeight="true">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row>
    <row r="359" ht="15.75" customHeight="true">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row>
    <row r="360" ht="15.75" customHeight="true">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row>
    <row r="361" ht="15.75" customHeight="true">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row>
    <row r="362" ht="15.75" customHeight="true">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row>
    <row r="363" ht="15.75" customHeight="true">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row>
    <row r="364" ht="15.75" customHeight="true">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row>
    <row r="365" ht="15.75" customHeight="true">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row>
    <row r="366" ht="15.75" customHeight="true">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row>
    <row r="367" ht="15.75" customHeight="true">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row>
    <row r="368" ht="15.75" customHeight="true">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row>
    <row r="369" ht="15.75" customHeight="true">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row>
    <row r="370" ht="15.75" customHeight="true">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row>
    <row r="371" ht="15.75" customHeight="true">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row>
    <row r="372" ht="15.75" customHeight="true">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row>
    <row r="373" ht="15.75" customHeight="true">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row>
    <row r="374" ht="15.75" customHeight="true">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row>
    <row r="375" ht="15.75" customHeight="true">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row>
    <row r="376" ht="15.75" customHeight="true">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row>
    <row r="377" ht="15.75" customHeight="true">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row>
    <row r="378" ht="15.75" customHeight="true">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row>
    <row r="379" ht="15.75" customHeight="true">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row>
    <row r="380" ht="15.75" customHeight="true">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row>
    <row r="381" ht="15.75" customHeight="true">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row>
    <row r="382" ht="15.75" customHeight="true">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row>
    <row r="383" ht="15.75" customHeight="true">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row>
    <row r="384" ht="15.75" customHeight="true">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row>
    <row r="385" ht="15.75" customHeight="true">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row>
    <row r="386" ht="15.75" customHeight="true">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row>
    <row r="387" ht="15.75" customHeight="true">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row>
    <row r="388" ht="15.75" customHeight="true">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row>
    <row r="389" ht="15.75" customHeight="true">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row>
    <row r="390" ht="15.75" customHeight="true">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row>
    <row r="391" ht="15.75" customHeight="true">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row>
    <row r="392" ht="15.75" customHeight="true">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row>
    <row r="393" ht="15.75" customHeight="true">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row>
    <row r="394" ht="15.75" customHeight="true">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row>
    <row r="395" ht="15.75" customHeight="true">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row>
    <row r="396" ht="15.75" customHeight="true">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row>
    <row r="397" ht="15.75" customHeight="true">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row>
    <row r="398" ht="15.75" customHeight="true">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row>
    <row r="399" ht="15.75" customHeight="true">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row>
    <row r="400" ht="15.75" customHeight="true">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row>
    <row r="401" ht="15.75" customHeight="true">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row>
    <row r="402" ht="15.75" customHeight="true">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row>
    <row r="403" ht="15.75" customHeight="true">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row>
    <row r="404" ht="15.75" customHeight="true">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row>
    <row r="405" ht="15.75" customHeight="true">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row>
    <row r="406" ht="15.75" customHeight="true">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row>
    <row r="407" ht="15.75" customHeight="true">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row>
    <row r="408" ht="15.75" customHeight="true">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row>
    <row r="409" ht="15.75" customHeight="true">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row>
    <row r="410" ht="15.75" customHeight="true">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row>
    <row r="411" ht="15.75" customHeight="true">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row>
    <row r="412" ht="15.75" customHeight="true">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row>
    <row r="413" ht="15.75" customHeight="true">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row>
    <row r="414" ht="15.75" customHeight="true">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row>
    <row r="415" ht="15.75" customHeight="true">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row>
    <row r="416" ht="15.75" customHeight="true">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row>
    <row r="417" ht="15.75" customHeight="true">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row>
    <row r="418" ht="15.75" customHeight="true">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row>
    <row r="419" ht="15.75" customHeight="true">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row>
    <row r="420" ht="15.75" customHeight="true">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row>
    <row r="421" ht="15.75" customHeight="true">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row>
    <row r="422" ht="15.75" customHeight="true">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row>
    <row r="423" ht="15.75" customHeight="true">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row>
    <row r="424" ht="15.75" customHeight="true">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row>
    <row r="425" ht="15.75" customHeight="true">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row>
    <row r="426" ht="15.75" customHeight="true">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row>
    <row r="427" ht="15.75" customHeight="true">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row>
    <row r="428" ht="15.75" customHeight="true">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row>
    <row r="429" ht="15.75" customHeight="true">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row>
    <row r="430" ht="15.75" customHeight="true">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row>
    <row r="431" ht="15.75" customHeight="true">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row>
    <row r="432" ht="15.75" customHeight="true">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row>
    <row r="433" ht="15.75" customHeight="true">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row>
    <row r="434" ht="15.75" customHeight="true">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row>
    <row r="435" ht="15.75" customHeight="true">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row>
    <row r="436" ht="15.75" customHeight="true">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row>
    <row r="437" ht="15.75" customHeight="true">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row>
    <row r="438" ht="15.75" customHeight="true">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row>
    <row r="439" ht="15.75" customHeight="true">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row>
    <row r="440" ht="15.75" customHeight="true">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row>
    <row r="441" ht="15.75" customHeight="true">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row>
    <row r="442" ht="15.75" customHeight="true">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row>
    <row r="443" ht="15.75" customHeight="true">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row>
    <row r="444" ht="15.75" customHeight="true">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row>
    <row r="445" ht="15.75" customHeight="true">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row>
    <row r="446" ht="15.75" customHeight="true">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row>
    <row r="447" ht="15.75" customHeight="true">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row>
    <row r="448" ht="15.75" customHeight="true">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row>
    <row r="449" ht="15.75" customHeight="true">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row>
    <row r="450" ht="15.75" customHeight="true">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row>
    <row r="451" ht="15.75" customHeight="true">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row>
    <row r="452" ht="15.75" customHeight="true">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row>
    <row r="453" ht="15.75" customHeight="true">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row>
    <row r="454" ht="15.75" customHeight="true">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row>
    <row r="455" ht="15.75" customHeight="true">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row>
    <row r="456" ht="15.75" customHeight="true">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row>
    <row r="457" ht="15.75" customHeight="true">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row>
    <row r="458" ht="15.75" customHeight="true">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row>
    <row r="459" ht="15.75" customHeight="true">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row>
    <row r="460" ht="15.75" customHeight="true">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row>
    <row r="461" ht="15.75" customHeight="true">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row>
    <row r="462" ht="15.75" customHeight="true">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row>
    <row r="463" ht="15.75" customHeight="true">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row>
    <row r="464" ht="15.75" customHeight="true">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row>
    <row r="465" ht="15.75" customHeight="true">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row>
    <row r="466" ht="15.75" customHeight="true">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row>
    <row r="467" ht="15.75" customHeight="true">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row>
    <row r="468" ht="15.75" customHeight="true">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row>
    <row r="469" ht="15.75" customHeight="true">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row>
    <row r="470" ht="15.75" customHeight="true">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row>
    <row r="471" ht="15.75" customHeight="true">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row>
    <row r="472" ht="15.75" customHeight="true">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row>
    <row r="473" ht="15.75" customHeight="true">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row>
    <row r="474" ht="15.75" customHeight="true">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row>
    <row r="475" ht="15.75" customHeight="true">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row>
    <row r="476" ht="15.75" customHeight="true">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row>
    <row r="477" ht="15.75" customHeight="true">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row>
    <row r="478" ht="15.75" customHeight="true">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row>
    <row r="479" ht="15.75" customHeight="true">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row>
    <row r="480" ht="15.75" customHeight="true">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row>
    <row r="481" ht="15.75" customHeight="true">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row>
    <row r="482" ht="15.75" customHeight="true">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row>
    <row r="483" ht="15.75" customHeight="true">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row>
    <row r="484" ht="15.75" customHeight="true">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row>
    <row r="485" ht="15.75" customHeight="true">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row>
    <row r="486" ht="15.75" customHeight="true">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row>
    <row r="487" ht="15.75" customHeight="true">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row>
    <row r="488" ht="15.75" customHeight="true">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row>
    <row r="489" ht="15.75" customHeight="true">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row>
    <row r="490" ht="15.75" customHeight="true">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row>
    <row r="491" ht="15.75" customHeight="true">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row>
    <row r="492" ht="15.75" customHeight="true">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row>
    <row r="493" ht="15.75" customHeight="true">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row>
    <row r="494" ht="15.75" customHeight="true">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row>
    <row r="495" ht="15.75" customHeight="true">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row>
    <row r="496" ht="15.75" customHeight="true">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row>
    <row r="497" ht="15.75" customHeight="true">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row>
    <row r="498" ht="15.75" customHeight="true">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row>
    <row r="499" ht="15.75" customHeight="true">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row>
    <row r="500" ht="15.75" customHeight="true">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row>
    <row r="501" ht="15.75" customHeight="true">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row>
    <row r="502" ht="15.75" customHeight="true">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row>
    <row r="503" ht="15.75" customHeight="true">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row>
    <row r="504" ht="15.75" customHeight="true">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row>
    <row r="505" ht="15.75" customHeight="true">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row>
    <row r="506" ht="15.75" customHeight="true">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row>
    <row r="507" ht="15.75" customHeight="true">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row>
    <row r="508" ht="15.75" customHeight="true">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row>
    <row r="509" ht="15.75" customHeight="true">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row>
    <row r="510" ht="15.75" customHeight="true">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row>
    <row r="511" ht="15.75" customHeight="true">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row>
    <row r="512" ht="15.75" customHeight="true">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row>
    <row r="513" ht="15.75" customHeight="true">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row>
    <row r="514" ht="15.75" customHeight="true">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row>
    <row r="515" ht="15.75" customHeight="true">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row>
    <row r="516" ht="15.75" customHeight="true">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row>
    <row r="517" ht="15.75" customHeight="true">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row>
    <row r="518" ht="15.75" customHeight="true">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row>
    <row r="519" ht="15.75" customHeight="true">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row>
    <row r="520" ht="15.75" customHeight="true">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row>
    <row r="521" ht="15.75" customHeight="true">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row>
    <row r="522" ht="15.75" customHeight="true">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row>
    <row r="523" ht="15.75" customHeight="true">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row>
    <row r="524" ht="15.75" customHeight="true">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row>
    <row r="525" ht="15.75" customHeight="true">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row>
    <row r="526" ht="15.75" customHeight="true">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row>
    <row r="527" ht="15.75" customHeight="true">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row>
    <row r="528" ht="15.75" customHeight="true">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row>
    <row r="529" ht="15.75" customHeight="true">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row>
    <row r="530" ht="15.75" customHeight="true">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row>
    <row r="531" ht="15.75" customHeight="true">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row>
    <row r="532" ht="15.75" customHeight="true">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row>
    <row r="533" ht="15.75" customHeight="true">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row>
    <row r="534" ht="15.75" customHeight="true">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row>
    <row r="535" ht="15.75" customHeight="true">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row>
    <row r="536" ht="15.75" customHeight="true">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row>
    <row r="537" ht="15.75" customHeight="true">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row>
    <row r="538" ht="15.75" customHeight="true">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row>
    <row r="539" ht="15.75" customHeight="true">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row>
    <row r="540" ht="15.75" customHeight="true">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row>
    <row r="541" ht="15.75" customHeight="true">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row>
    <row r="542" ht="15.75" customHeight="true">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row>
    <row r="543" ht="15.75" customHeight="true">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row>
    <row r="544" ht="15.75" customHeight="true">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row>
    <row r="545" ht="15.75" customHeight="true">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row>
    <row r="546" ht="15.75" customHeight="true">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row>
    <row r="547" ht="15.75" customHeight="true">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row>
    <row r="548" ht="15.75" customHeight="true">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row>
    <row r="549" ht="15.75" customHeight="true">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row>
    <row r="550" ht="15.75" customHeight="true">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row>
    <row r="551" ht="15.75" customHeight="true">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row>
    <row r="552" ht="15.75" customHeight="true">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row>
    <row r="553" ht="15.75" customHeight="true">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row>
    <row r="554" ht="15.75" customHeight="true">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row>
    <row r="555" ht="15.75" customHeight="true">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row>
    <row r="556" ht="15.75" customHeight="true">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row>
    <row r="557" ht="15.75" customHeight="true">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row>
    <row r="558" ht="15.75" customHeight="true">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row>
    <row r="559" ht="15.75" customHeight="true">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row>
    <row r="560" ht="15.75" customHeight="true">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row>
    <row r="561" ht="15.75" customHeight="true">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row>
    <row r="562" ht="15.75" customHeight="true">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row>
    <row r="563" ht="15.75" customHeight="true">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row>
    <row r="564" ht="15.75" customHeight="true">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row>
    <row r="565" ht="15.75" customHeight="true">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row>
    <row r="566" ht="15.75" customHeight="true">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row>
    <row r="567" ht="15.75" customHeight="true">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row>
    <row r="568" ht="15.75" customHeight="true">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row>
    <row r="569" ht="15.75" customHeight="true">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row>
    <row r="570" ht="15.75" customHeight="true">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row>
    <row r="571" ht="15.75" customHeight="true">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row>
    <row r="572" ht="15.75" customHeight="true">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row>
    <row r="573" ht="15.75" customHeight="true">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row>
    <row r="574" ht="15.75" customHeight="true">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row>
    <row r="575" ht="15.75" customHeight="true">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row>
    <row r="576" ht="15.75" customHeight="true">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row>
    <row r="577" ht="15.75" customHeight="true">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row>
    <row r="578" ht="15.75" customHeight="true">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row>
    <row r="579" ht="15.75" customHeight="true">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row>
    <row r="580" ht="15.75" customHeight="true">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row>
    <row r="581" ht="15.75" customHeight="true">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row>
    <row r="582" ht="15.75" customHeight="true">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row>
    <row r="583" ht="15.75" customHeight="true">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row>
    <row r="584" ht="15.75" customHeight="true">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row>
    <row r="585" ht="15.75" customHeight="true">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row>
    <row r="586" ht="15.75" customHeight="true">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row>
    <row r="587" ht="15.75" customHeight="true">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row>
    <row r="588" ht="15.75" customHeight="true">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row>
    <row r="589" ht="15.75" customHeight="true">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row>
    <row r="590" ht="15.75" customHeight="true">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row>
    <row r="591" ht="15.75" customHeight="true">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row>
    <row r="592" ht="15.75" customHeight="true">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row>
    <row r="593" ht="15.75" customHeight="true">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row>
    <row r="594" ht="15.75" customHeight="true">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row>
    <row r="595" ht="15.75" customHeight="true">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row>
    <row r="596" ht="15.75" customHeight="true">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row>
    <row r="597" ht="15.75" customHeight="true">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row>
    <row r="598" ht="15.75" customHeight="true">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row>
    <row r="599" ht="15.75" customHeight="true">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row>
    <row r="600" ht="15.75" customHeight="true">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row>
    <row r="601" ht="15.75" customHeight="true">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row>
    <row r="602" ht="15.75" customHeight="true">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row>
    <row r="603" ht="15.75" customHeight="true">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row>
    <row r="604" ht="15.75" customHeight="true">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row>
    <row r="605" ht="15.75" customHeight="true">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row>
    <row r="606" ht="15.75" customHeight="true">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row>
    <row r="607" ht="15.75" customHeight="true">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row>
    <row r="608" ht="15.75" customHeight="true">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row>
    <row r="609" ht="15.75" customHeight="true">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row>
    <row r="610" ht="15.75" customHeight="true">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row>
    <row r="611" ht="15.75" customHeight="true">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ht="15.75" customHeight="true">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ht="15.75" customHeight="true">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ht="15.75" customHeight="true">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ht="15.75" customHeight="true">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ht="15.75" customHeight="true">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row>
    <row r="617" ht="15.75" customHeight="true">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row>
    <row r="618" ht="15.75" customHeight="true">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row>
    <row r="619" ht="15.75" customHeight="true">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row>
    <row r="620" ht="15.75" customHeight="true">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row>
    <row r="621" ht="15.75" customHeight="true">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row>
    <row r="622" ht="15.75" customHeight="true">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row>
    <row r="623" ht="15.75" customHeight="true">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row>
    <row r="624" ht="15.75" customHeight="true">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row>
    <row r="625" ht="15.75" customHeight="true">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row>
    <row r="626" ht="15.75" customHeight="true">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row>
    <row r="627" ht="15.75" customHeight="true">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row>
    <row r="628" ht="15.75" customHeight="true">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row>
    <row r="629" ht="15.75" customHeight="true">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row>
    <row r="630" ht="15.75" customHeight="true">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row>
    <row r="631" ht="15.75" customHeight="true">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row>
    <row r="632" ht="15.75" customHeight="true">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row>
    <row r="633" ht="15.75" customHeight="true">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row>
    <row r="634" ht="15.75" customHeight="true">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row>
    <row r="635" ht="15.75" customHeight="true">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row>
    <row r="636" ht="15.75" customHeight="true">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row>
    <row r="637" ht="15.75" customHeight="true">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row>
    <row r="638" ht="15.75" customHeight="true">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row>
    <row r="639" ht="15.75" customHeight="true">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row>
    <row r="640" ht="15.75" customHeight="true">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row>
    <row r="641" ht="15.75" customHeight="true">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row>
    <row r="642" ht="15.75" customHeight="true">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row>
    <row r="643" ht="15.75" customHeight="true">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row>
    <row r="644" ht="15.75" customHeight="true">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row>
    <row r="645" ht="15.75" customHeight="true">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row>
    <row r="646" ht="15.75" customHeight="true">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row>
    <row r="647" ht="15.75" customHeight="true">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row>
    <row r="648" ht="15.75" customHeight="true">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row>
    <row r="649" ht="15.75" customHeight="true">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row>
    <row r="650" ht="15.75" customHeight="true">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row>
    <row r="651" ht="15.75" customHeight="true">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row>
    <row r="652" ht="15.75" customHeight="true">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row>
    <row r="653" ht="15.75" customHeight="true">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row>
    <row r="654" ht="15.75" customHeight="true">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row>
    <row r="655" ht="15.75" customHeight="true">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row>
    <row r="656" ht="15.75" customHeight="true">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row>
    <row r="657" ht="15.75" customHeight="true">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row>
    <row r="658" ht="15.75" customHeight="true">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row>
    <row r="659" ht="15.75" customHeight="true">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row>
    <row r="660" ht="15.75" customHeight="true">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row>
    <row r="661" ht="15.75" customHeight="true">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row>
    <row r="662" ht="15.75" customHeight="true">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row>
    <row r="663" ht="15.75" customHeight="true">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row>
    <row r="664" ht="15.75" customHeight="true">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row>
    <row r="665" ht="15.75" customHeight="true">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row>
    <row r="666" ht="15.75" customHeight="true">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row>
    <row r="667" ht="15.75" customHeight="true">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row>
    <row r="668" ht="15.75" customHeight="true">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row>
    <row r="669" ht="15.75" customHeight="true">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row>
    <row r="670" ht="15.75" customHeight="true">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row>
    <row r="671" ht="15.75" customHeight="true">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row>
    <row r="672" ht="15.75" customHeight="true">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row>
    <row r="673" ht="15.75" customHeight="true">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row>
    <row r="674" ht="15.75" customHeight="true">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row>
    <row r="675" ht="15.75" customHeight="true">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row>
    <row r="676" ht="15.75" customHeight="true">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row>
    <row r="677" ht="15.75" customHeight="true">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row>
    <row r="678" ht="15.75" customHeight="true">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row>
    <row r="679" ht="15.75" customHeight="true">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row>
    <row r="680" ht="15.75" customHeight="true">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row>
    <row r="681" ht="15.75" customHeight="true">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row>
    <row r="682" ht="15.75" customHeight="true">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row>
    <row r="683" ht="15.75" customHeight="true">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row>
    <row r="684" ht="15.75" customHeight="true">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row>
    <row r="685" ht="15.75" customHeight="true">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row>
    <row r="686" ht="15.75" customHeight="true">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row>
    <row r="687" ht="15.75" customHeight="true">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row>
    <row r="688" ht="15.75" customHeight="true">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row>
    <row r="689" ht="15.75" customHeight="true">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row>
    <row r="690" ht="15.75" customHeight="true">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row>
    <row r="691" ht="15.75" customHeight="true">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row>
    <row r="692" ht="15.75" customHeight="true">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row>
    <row r="693" ht="15.75" customHeight="true">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row>
    <row r="694" ht="15.75" customHeight="true">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row>
    <row r="695" ht="15.75" customHeight="true">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row>
    <row r="696" ht="15.75" customHeight="true">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row>
    <row r="697" ht="15.75" customHeight="true">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ht="15.75" customHeight="true">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row>
    <row r="699" ht="15.75" customHeight="true">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row>
    <row r="700" ht="15.75" customHeight="true">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row>
    <row r="701" ht="15.75" customHeight="true">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row>
    <row r="702" ht="15.75" customHeight="true">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row>
    <row r="703" ht="15.75" customHeight="true">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row>
    <row r="704" ht="15.75" customHeight="true">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row>
    <row r="705" ht="15.75" customHeight="true">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row>
    <row r="706" ht="15.75" customHeight="true">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row>
    <row r="707" ht="15.75" customHeight="true">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row>
    <row r="708" ht="15.75" customHeight="true">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row>
    <row r="709" ht="15.75" customHeight="true">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row>
    <row r="710" ht="15.75" customHeight="true">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row>
    <row r="711" ht="15.75" customHeight="true">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row>
    <row r="712" ht="15.75" customHeight="true">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row>
    <row r="713" ht="15.75" customHeight="true">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row>
    <row r="714" ht="15.75" customHeight="true">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row>
    <row r="715" ht="15.75" customHeight="true">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row>
    <row r="716" ht="15.75" customHeight="true">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row>
    <row r="717" ht="15.75" customHeight="true">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row>
    <row r="718" ht="15.75" customHeight="true">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row>
    <row r="719" ht="15.75" customHeight="true">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row>
    <row r="720" ht="15.75" customHeight="true">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row>
    <row r="721" ht="15.75" customHeight="true">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row>
    <row r="722" ht="15.75" customHeight="true">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row>
    <row r="723" ht="15.75" customHeight="true">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row>
    <row r="724" ht="15.75" customHeight="true">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row>
    <row r="725" ht="15.75" customHeight="true">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row>
    <row r="726" ht="15.75" customHeight="true">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row>
    <row r="727" ht="15.75" customHeight="true">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row>
    <row r="728" ht="15.75" customHeight="true">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row>
    <row r="729" ht="15.75" customHeight="true">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row>
    <row r="730" ht="15.75" customHeight="true">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row>
    <row r="731" ht="15.75" customHeight="true">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row>
    <row r="732" ht="15.75" customHeight="true">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row>
    <row r="733" ht="15.75" customHeight="true">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row>
    <row r="734" ht="15.75" customHeight="true">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row>
    <row r="735" ht="15.75" customHeight="true">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row>
    <row r="736" ht="15.75" customHeight="true">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row>
    <row r="737" ht="15.75" customHeight="true">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row>
    <row r="738" ht="15.75" customHeight="true">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row>
    <row r="739" ht="15.75" customHeight="true">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row>
    <row r="740" ht="15.75" customHeight="true">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row>
    <row r="741" ht="15.75" customHeight="true">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row>
    <row r="742" ht="15.75" customHeight="true">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row>
    <row r="743" ht="15.75" customHeight="true">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row>
    <row r="744" ht="15.75" customHeight="true">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row>
    <row r="745" ht="15.75" customHeight="true">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row>
    <row r="746" ht="15.75" customHeight="true">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row>
    <row r="747" ht="15.75" customHeight="true">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row>
    <row r="748" ht="15.75" customHeight="true">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row>
    <row r="749" ht="15.75" customHeight="true">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row>
    <row r="750" ht="15.75" customHeight="true">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row>
    <row r="751" ht="15.75" customHeight="true">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row>
    <row r="752" ht="15.75" customHeight="true">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row>
    <row r="753" ht="15.75" customHeight="true">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row>
    <row r="754" ht="15.75" customHeight="true">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row>
    <row r="755" ht="15.75" customHeight="true">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row>
    <row r="756" ht="15.75" customHeight="true">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row>
    <row r="757" ht="15.75" customHeight="true">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row>
    <row r="758" ht="15.75" customHeight="true">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row>
    <row r="759" ht="15.75" customHeight="true">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row>
    <row r="760" ht="15.75" customHeight="true">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row>
    <row r="761" ht="15.75" customHeight="true">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row>
    <row r="762" ht="15.75" customHeight="true">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row>
    <row r="763" ht="15.75" customHeight="true">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row>
    <row r="764" ht="15.75" customHeight="true">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row>
    <row r="765" ht="15.75" customHeight="true">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row>
    <row r="766" ht="15.75" customHeight="true">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row>
    <row r="767" ht="15.75" customHeight="true">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row>
    <row r="768" ht="15.75" customHeight="true">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row>
    <row r="769" ht="15.75" customHeight="true">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row>
    <row r="770" ht="15.75" customHeight="true">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row>
    <row r="771" ht="15.75" customHeight="true">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row>
    <row r="772" ht="15.75" customHeight="true">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row>
    <row r="773" ht="15.75" customHeight="true">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row>
    <row r="774" ht="15.75" customHeight="true">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row>
    <row r="775" ht="15.75" customHeight="true">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row>
    <row r="776" ht="15.75" customHeight="true">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row>
    <row r="777" ht="15.75" customHeight="true">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row>
    <row r="778" ht="15.75" customHeight="true">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row>
    <row r="779" ht="15.75" customHeight="true">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row>
    <row r="780" ht="15.75" customHeight="true">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row>
    <row r="781" ht="15.75" customHeight="true">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row>
    <row r="782" ht="15.75" customHeight="true">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row>
    <row r="783" ht="15.75" customHeight="true">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row>
    <row r="784" ht="15.75" customHeight="true">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row>
    <row r="785" ht="15.75" customHeight="true">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row>
    <row r="786" ht="15.75" customHeight="true">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row>
    <row r="787" ht="15.75" customHeight="true">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row>
    <row r="788" ht="15.75" customHeight="true">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row>
    <row r="789" ht="15.75" customHeight="true">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row>
    <row r="790" ht="15.75" customHeight="true">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row>
    <row r="791" ht="15.75" customHeight="true">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row>
    <row r="792" ht="15.75" customHeight="true">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row>
    <row r="793" ht="15.75" customHeight="true">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row>
    <row r="794" ht="15.75" customHeight="true">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row>
    <row r="795" ht="15.75" customHeight="true">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row>
    <row r="796" ht="15.75" customHeight="true">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row>
    <row r="797" ht="15.75" customHeight="true">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row>
    <row r="798" ht="15.75" customHeight="true">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row>
    <row r="799" ht="15.75" customHeight="true">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row>
    <row r="800" ht="15.75" customHeight="true">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row>
    <row r="801" ht="15.75" customHeight="true">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row>
    <row r="802" ht="15.75" customHeight="true">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row>
    <row r="803" ht="15.75" customHeight="true">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row>
    <row r="804" ht="15.75" customHeight="true">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row>
    <row r="805" ht="15.75" customHeight="true">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row>
    <row r="806" ht="15.75" customHeight="true">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row>
    <row r="807" ht="15.75" customHeight="true">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row>
    <row r="808" ht="15.75" customHeight="true">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row>
    <row r="809" ht="15.75" customHeight="true">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row>
    <row r="810" ht="15.75" customHeight="true">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row>
    <row r="811" ht="15.75" customHeight="true">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row>
    <row r="812" ht="15.75" customHeight="true">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row>
    <row r="813" ht="15.75" customHeight="true">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row>
    <row r="814" ht="15.75" customHeight="true">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row>
    <row r="815" ht="15.75" customHeight="true">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row>
    <row r="816" ht="15.75" customHeight="true">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row>
    <row r="817" ht="15.75" customHeight="true">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row>
    <row r="818" ht="15.75" customHeight="true">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row>
    <row r="819" ht="15.75" customHeight="true">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row>
    <row r="820" ht="15.75" customHeight="true">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row>
    <row r="821" ht="15.75" customHeight="true">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row>
    <row r="822" ht="15.75" customHeight="true">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row>
    <row r="823" ht="15.75" customHeight="true">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row>
    <row r="824" ht="15.75" customHeight="true">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row>
    <row r="825" ht="15.75" customHeight="true">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row>
    <row r="826" ht="15.75" customHeight="true">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row>
    <row r="827" ht="15.75" customHeight="true">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row>
    <row r="828" ht="15.75" customHeight="true">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row>
    <row r="829" ht="15.75" customHeight="true">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row>
    <row r="830" ht="15.75" customHeight="true">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row>
    <row r="831" ht="15.75" customHeight="true">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row>
    <row r="832" ht="15.75" customHeight="true">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row>
    <row r="833" ht="15.75" customHeight="true">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row>
    <row r="834" ht="15.75" customHeight="true">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row>
    <row r="835" ht="15.75" customHeight="true">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row>
    <row r="836" ht="15.75" customHeight="true">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row>
    <row r="837" ht="15.75" customHeight="true">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row>
    <row r="838" ht="15.75" customHeight="true">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row>
    <row r="839" ht="15.75" customHeight="true">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row>
    <row r="840" ht="15.75" customHeight="true">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row>
    <row r="841" ht="15.75" customHeight="true">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row>
    <row r="842" ht="15.75" customHeight="true">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row>
    <row r="843" ht="15.75" customHeight="true">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row>
    <row r="844" ht="15.75" customHeight="true">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row>
    <row r="845" ht="15.75" customHeight="true">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row>
    <row r="846" ht="15.75" customHeight="true">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row>
    <row r="847" ht="15.75" customHeight="true">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row>
    <row r="848" ht="15.75" customHeight="true">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row>
    <row r="849" ht="15.75" customHeight="true">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row>
    <row r="850" ht="15.75" customHeight="true">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row>
    <row r="851" ht="15.75" customHeight="true">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row>
    <row r="852" ht="15.75" customHeight="true">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row>
    <row r="853" ht="15.75" customHeight="true">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row>
    <row r="854" ht="15.75" customHeight="true">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row>
    <row r="855" ht="15.75" customHeight="true">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row>
    <row r="856" ht="15.75" customHeight="true">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row>
    <row r="857" ht="15.75" customHeight="true">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row>
    <row r="858" ht="15.75" customHeight="true">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row>
    <row r="859" ht="15.75" customHeight="true">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row>
    <row r="860" ht="15.75" customHeight="true">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row>
    <row r="861" ht="15.75" customHeight="true">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row>
    <row r="862" ht="15.75" customHeight="true">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row>
    <row r="863" ht="15.75" customHeight="true">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row>
    <row r="864" ht="15.75" customHeight="true">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row>
    <row r="865" ht="15.75" customHeight="true">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row>
    <row r="866" ht="15.75" customHeight="true">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row>
    <row r="867" ht="15.75" customHeight="true">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row>
    <row r="868" ht="15.75" customHeight="true">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row>
    <row r="869" ht="15.75" customHeight="true">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row>
    <row r="870" ht="15.75" customHeight="true">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row>
    <row r="871" ht="15.75" customHeight="true">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row>
    <row r="872" ht="15.75" customHeight="true">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row>
    <row r="873" ht="15.75" customHeight="true">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row>
    <row r="874" ht="15.75" customHeight="true">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row>
    <row r="875" ht="15.75" customHeight="true">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row>
    <row r="876" ht="15.75" customHeight="true">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row>
    <row r="877" ht="15.75" customHeight="true">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row>
    <row r="878" ht="15.75" customHeight="true">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row>
    <row r="879" ht="15.75" customHeight="true">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row>
    <row r="880" ht="15.75" customHeight="true">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row>
    <row r="881" ht="15.75" customHeight="true">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row>
    <row r="882" ht="15.75" customHeight="true">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row>
    <row r="883" ht="15.75" customHeight="true">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row>
    <row r="884" ht="15.75" customHeight="true">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row>
    <row r="885" ht="15.75" customHeight="true">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row>
    <row r="886" ht="15.75" customHeight="true">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row>
    <row r="887" ht="15.75" customHeight="true">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row>
    <row r="888" ht="15.75" customHeight="true">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row>
    <row r="889" ht="15.75" customHeight="true">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row>
    <row r="890" ht="15.75" customHeight="true">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row>
    <row r="891" ht="15.75" customHeight="true">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row>
    <row r="892" ht="15.75" customHeight="true">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row>
    <row r="893" ht="15.75" customHeight="true">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row>
    <row r="894" ht="15.75" customHeight="true">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row>
    <row r="895" ht="15.75" customHeight="true">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row>
    <row r="896" ht="15.75" customHeight="true">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row>
    <row r="897" ht="15.75" customHeight="true">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row>
    <row r="898" ht="15.75" customHeight="true">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row>
    <row r="899" ht="15.75" customHeight="true">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row>
    <row r="900" ht="15.75" customHeight="true">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row>
    <row r="901" ht="15.75" customHeight="true">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row>
    <row r="902" ht="15.75" customHeight="true">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row>
    <row r="903" ht="15.75" customHeight="true">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row>
    <row r="904" ht="15.75" customHeight="true">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row>
    <row r="905" ht="15.75" customHeight="true">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row>
    <row r="906" ht="15.75" customHeight="true">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row>
    <row r="907" ht="15.75" customHeight="true">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row>
    <row r="908" ht="15.75" customHeight="true">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row>
    <row r="909" ht="15.75" customHeight="true">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row>
    <row r="910" ht="15.75" customHeight="true">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row>
    <row r="911" ht="15.75" customHeight="true">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row>
    <row r="912" ht="15.75" customHeight="true">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row>
    <row r="913" ht="15.75" customHeight="true">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row>
    <row r="914" ht="15.75" customHeight="true">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row>
    <row r="915" ht="15.75" customHeight="true">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row>
    <row r="916" ht="15.75" customHeight="true">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row>
    <row r="917" ht="15.75" customHeight="true">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row>
    <row r="918" ht="15.75" customHeight="true">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row>
    <row r="919" ht="15.75" customHeight="true">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row>
    <row r="920" ht="15.75" customHeight="true">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row>
    <row r="921" ht="15.75" customHeight="true">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row>
    <row r="922" ht="15.75" customHeight="true">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row>
    <row r="923" ht="15.75" customHeight="true">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row>
    <row r="924" ht="15.75" customHeight="true">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row>
    <row r="925" ht="15.75" customHeight="true">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row>
    <row r="926" ht="15.75" customHeight="true">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row>
    <row r="927" ht="15.75" customHeight="true">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row>
    <row r="928" ht="15.75" customHeight="true">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row>
    <row r="929" ht="15.75" customHeight="true">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row>
    <row r="930" ht="15.75" customHeight="true">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row>
    <row r="931" ht="15.75" customHeight="true">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row>
    <row r="932" ht="15.75" customHeight="true">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row>
    <row r="933" ht="15.75" customHeight="true">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row>
    <row r="934" ht="15.75" customHeight="true">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row>
    <row r="935" ht="15.75" customHeight="true">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row>
    <row r="936" ht="15.75" customHeight="true">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row>
    <row r="937" ht="15.75" customHeight="true">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row>
    <row r="938" ht="15.75" customHeight="true">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row>
    <row r="939" ht="15.75" customHeight="true">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row>
    <row r="940" ht="15.75" customHeight="true">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row>
    <row r="941" ht="15.75" customHeight="true">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row>
    <row r="942" ht="15.75" customHeight="true">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row>
    <row r="943" ht="15.75" customHeight="true">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row>
    <row r="944" ht="15.75" customHeight="true">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row>
    <row r="945" ht="15.75" customHeight="true">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row>
    <row r="946" ht="15.75" customHeight="true">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row>
    <row r="947" ht="15.75" customHeight="true">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row>
    <row r="948" ht="15.75" customHeight="true">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row>
    <row r="949" ht="15.75" customHeight="true">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row>
    <row r="950" ht="15.75" customHeight="true">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row>
    <row r="951" ht="15.75" customHeight="true">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row>
    <row r="952" ht="15.75" customHeight="true">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row>
    <row r="953" ht="15.75" customHeight="true">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row>
    <row r="954" ht="15.75" customHeight="true">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row>
    <row r="955" ht="15.75" customHeight="true">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row>
    <row r="956" ht="15.75" customHeight="true">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row>
    <row r="957" ht="15.75" customHeight="true">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row>
    <row r="958" ht="15.75" customHeight="true">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row>
    <row r="959" ht="15.75" customHeight="true">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row>
    <row r="960" ht="15.75" customHeight="true">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row>
    <row r="961" ht="15.75" customHeight="true">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row>
    <row r="962" ht="15.75" customHeight="true">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row>
    <row r="963" ht="15.75" customHeight="true">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row>
    <row r="964" ht="15.75" customHeight="true">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row>
    <row r="965" ht="15.75" customHeight="true">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row>
    <row r="966" ht="15.75" customHeight="true">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row>
    <row r="967" ht="15.75" customHeight="true">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row>
    <row r="968" ht="15.75" customHeight="true">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row>
    <row r="969" ht="15.75" customHeight="true">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row>
    <row r="970" ht="15.75" customHeight="true">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row>
    <row r="971" ht="15.75" customHeight="true">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row>
    <row r="972" ht="15.75" customHeight="true">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row>
    <row r="973" ht="15.75" customHeight="true">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row>
    <row r="974" ht="15.75" customHeight="true">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row>
    <row r="975" ht="15.75" customHeight="true">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row>
    <row r="976" ht="15.75" customHeight="true">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row>
    <row r="977" ht="15.75" customHeight="true">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row>
    <row r="978" ht="15.75" customHeight="true">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row>
    <row r="979" ht="15.75" customHeight="true">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row>
    <row r="980" ht="15.75" customHeight="true">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row>
    <row r="981" ht="15.75" customHeight="true">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row>
    <row r="982" ht="15.75" customHeight="true">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row>
    <row r="983" ht="15.75" customHeight="true">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row>
    <row r="984" ht="15.75" customHeight="true">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row>
    <row r="985" ht="15.75" customHeight="true">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row>
    <row r="986" ht="15.75" customHeight="true">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row>
    <row r="987" ht="15.75" customHeight="true">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row>
    <row r="988" ht="15.75" customHeight="true">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row>
    <row r="989" ht="15.75" customHeight="true">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row>
    <row r="990" ht="15.75" customHeight="true">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row>
    <row r="991" ht="15.75" customHeight="true">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row>
    <row r="992" ht="15.75" customHeight="true">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row>
    <row r="993" ht="15.75" customHeight="true">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row>
    <row r="994" ht="15.75" customHeight="true">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row>
    <row r="995" ht="15.75" customHeight="true">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row>
    <row r="996" ht="15.75" customHeight="true">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row>
    <row r="997" ht="15.75" customHeight="true">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row>
    <row r="998" ht="15.75" customHeight="true">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row>
    <row r="999" ht="15.75" customHeight="true">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row>
    <row r="1000" ht="15.75" customHeight="true">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row>
    <row r="1001" ht="15.75" customHeight="true">
      <c r="A1001" s="131"/>
      <c r="B1001" s="131"/>
      <c r="C1001" s="131"/>
      <c r="D1001" s="131"/>
      <c r="E1001" s="131"/>
      <c r="F1001" s="131"/>
      <c r="G1001" s="131"/>
      <c r="H1001" s="131"/>
      <c r="I1001" s="131"/>
      <c r="J1001" s="131"/>
      <c r="K1001" s="131"/>
      <c r="L1001" s="131"/>
      <c r="M1001" s="131"/>
      <c r="N1001" s="131"/>
      <c r="O1001" s="131"/>
      <c r="P1001" s="131"/>
      <c r="Q1001" s="131"/>
      <c r="R1001" s="131"/>
      <c r="S1001" s="131"/>
      <c r="T1001" s="131"/>
      <c r="U1001" s="131"/>
      <c r="V1001" s="131"/>
      <c r="W1001" s="131"/>
      <c r="X1001" s="131"/>
      <c r="Y1001" s="131"/>
      <c r="Z1001" s="131"/>
    </row>
    <row r="1002" ht="15.75" customHeight="true">
      <c r="A1002" s="131"/>
      <c r="B1002" s="131"/>
      <c r="C1002" s="131"/>
      <c r="D1002" s="131"/>
      <c r="E1002" s="131"/>
      <c r="F1002" s="131"/>
      <c r="G1002" s="131"/>
      <c r="H1002" s="131"/>
      <c r="I1002" s="131"/>
      <c r="J1002" s="131"/>
      <c r="K1002" s="131"/>
      <c r="L1002" s="131"/>
      <c r="M1002" s="131"/>
      <c r="N1002" s="131"/>
      <c r="O1002" s="131"/>
      <c r="P1002" s="131"/>
      <c r="Q1002" s="131"/>
      <c r="R1002" s="131"/>
      <c r="S1002" s="131"/>
      <c r="T1002" s="131"/>
      <c r="U1002" s="131"/>
      <c r="V1002" s="131"/>
      <c r="W1002" s="131"/>
      <c r="X1002" s="131"/>
      <c r="Y1002" s="131"/>
      <c r="Z1002" s="131"/>
    </row>
    <row r="1003" ht="15.75" customHeight="true">
      <c r="A1003" s="131"/>
      <c r="B1003" s="131"/>
      <c r="C1003" s="131"/>
      <c r="D1003" s="131"/>
      <c r="E1003" s="131"/>
      <c r="F1003" s="131"/>
      <c r="G1003" s="131"/>
      <c r="H1003" s="131"/>
      <c r="I1003" s="131"/>
      <c r="J1003" s="131"/>
      <c r="K1003" s="131"/>
      <c r="L1003" s="131"/>
      <c r="M1003" s="131"/>
      <c r="N1003" s="131"/>
      <c r="O1003" s="131"/>
      <c r="P1003" s="131"/>
      <c r="Q1003" s="131"/>
      <c r="R1003" s="131"/>
      <c r="S1003" s="131"/>
      <c r="T1003" s="131"/>
      <c r="U1003" s="131"/>
      <c r="V1003" s="131"/>
      <c r="W1003" s="131"/>
      <c r="X1003" s="131"/>
      <c r="Y1003" s="131"/>
      <c r="Z1003" s="131"/>
    </row>
    <row r="1004" ht="15.75" customHeight="true">
      <c r="A1004" s="131"/>
      <c r="B1004" s="131"/>
      <c r="C1004" s="131"/>
      <c r="D1004" s="131"/>
      <c r="E1004" s="131"/>
      <c r="F1004" s="131"/>
      <c r="G1004" s="131"/>
      <c r="H1004" s="131"/>
      <c r="I1004" s="131"/>
      <c r="J1004" s="131"/>
      <c r="K1004" s="131"/>
      <c r="L1004" s="131"/>
      <c r="M1004" s="131"/>
      <c r="N1004" s="131"/>
      <c r="O1004" s="131"/>
      <c r="P1004" s="131"/>
      <c r="Q1004" s="131"/>
      <c r="R1004" s="131"/>
      <c r="S1004" s="131"/>
      <c r="T1004" s="131"/>
      <c r="U1004" s="131"/>
      <c r="V1004" s="131"/>
      <c r="W1004" s="131"/>
      <c r="X1004" s="131"/>
      <c r="Y1004" s="131"/>
      <c r="Z1004" s="131"/>
    </row>
    <row r="1005" ht="15.75" customHeight="true">
      <c r="A1005" s="131"/>
      <c r="B1005" s="131"/>
      <c r="C1005" s="131"/>
      <c r="D1005" s="131"/>
      <c r="E1005" s="131"/>
      <c r="F1005" s="131"/>
      <c r="G1005" s="131"/>
      <c r="H1005" s="131"/>
      <c r="I1005" s="131"/>
      <c r="J1005" s="131"/>
      <c r="K1005" s="131"/>
      <c r="L1005" s="131"/>
      <c r="M1005" s="131"/>
      <c r="N1005" s="131"/>
      <c r="O1005" s="131"/>
      <c r="P1005" s="131"/>
      <c r="Q1005" s="131"/>
      <c r="R1005" s="131"/>
      <c r="S1005" s="131"/>
      <c r="T1005" s="131"/>
      <c r="U1005" s="131"/>
      <c r="V1005" s="131"/>
      <c r="W1005" s="131"/>
      <c r="X1005" s="131"/>
      <c r="Y1005" s="131"/>
      <c r="Z1005" s="131"/>
    </row>
    <row r="1006" ht="15.75" customHeight="true">
      <c r="A1006" s="131"/>
      <c r="B1006" s="131"/>
      <c r="C1006" s="131"/>
      <c r="D1006" s="131"/>
      <c r="E1006" s="131"/>
      <c r="F1006" s="131"/>
      <c r="G1006" s="131"/>
      <c r="H1006" s="131"/>
      <c r="I1006" s="131"/>
      <c r="J1006" s="131"/>
      <c r="K1006" s="131"/>
      <c r="L1006" s="131"/>
      <c r="M1006" s="131"/>
      <c r="N1006" s="131"/>
      <c r="O1006" s="131"/>
      <c r="P1006" s="131"/>
      <c r="Q1006" s="131"/>
      <c r="R1006" s="131"/>
      <c r="S1006" s="131"/>
      <c r="T1006" s="131"/>
      <c r="U1006" s="131"/>
      <c r="V1006" s="131"/>
      <c r="W1006" s="131"/>
      <c r="X1006" s="131"/>
      <c r="Y1006" s="131"/>
      <c r="Z1006" s="131"/>
    </row>
    <row r="1007" ht="15.75" customHeight="true">
      <c r="A1007" s="131"/>
      <c r="B1007" s="131"/>
      <c r="C1007" s="131"/>
      <c r="D1007" s="131"/>
      <c r="E1007" s="131"/>
      <c r="F1007" s="131"/>
      <c r="G1007" s="131"/>
      <c r="H1007" s="131"/>
      <c r="I1007" s="131"/>
      <c r="J1007" s="131"/>
      <c r="K1007" s="131"/>
      <c r="L1007" s="131"/>
      <c r="M1007" s="131"/>
      <c r="N1007" s="131"/>
      <c r="O1007" s="131"/>
      <c r="P1007" s="131"/>
      <c r="Q1007" s="131"/>
      <c r="R1007" s="131"/>
      <c r="S1007" s="131"/>
      <c r="T1007" s="131"/>
      <c r="U1007" s="131"/>
      <c r="V1007" s="131"/>
      <c r="W1007" s="131"/>
      <c r="X1007" s="131"/>
      <c r="Y1007" s="131"/>
      <c r="Z1007" s="131"/>
    </row>
    <row r="1008" ht="15.75" customHeight="true">
      <c r="A1008" s="131"/>
      <c r="B1008" s="131"/>
      <c r="C1008" s="131"/>
      <c r="D1008" s="131"/>
      <c r="E1008" s="131"/>
      <c r="F1008" s="131"/>
      <c r="G1008" s="131"/>
      <c r="H1008" s="131"/>
      <c r="I1008" s="131"/>
      <c r="J1008" s="131"/>
      <c r="K1008" s="131"/>
      <c r="L1008" s="131"/>
      <c r="M1008" s="131"/>
      <c r="N1008" s="131"/>
      <c r="O1008" s="131"/>
      <c r="P1008" s="131"/>
      <c r="Q1008" s="131"/>
      <c r="R1008" s="131"/>
      <c r="S1008" s="131"/>
      <c r="T1008" s="131"/>
      <c r="U1008" s="131"/>
      <c r="V1008" s="131"/>
      <c r="W1008" s="131"/>
      <c r="X1008" s="131"/>
      <c r="Y1008" s="131"/>
      <c r="Z1008" s="131"/>
    </row>
    <row r="1009" ht="15.75" customHeight="true">
      <c r="A1009" s="131"/>
      <c r="B1009" s="131"/>
      <c r="C1009" s="131"/>
      <c r="D1009" s="131"/>
      <c r="E1009" s="131"/>
      <c r="F1009" s="131"/>
      <c r="G1009" s="131"/>
      <c r="H1009" s="131"/>
      <c r="I1009" s="131"/>
      <c r="J1009" s="131"/>
      <c r="K1009" s="131"/>
      <c r="L1009" s="131"/>
      <c r="M1009" s="131"/>
      <c r="N1009" s="131"/>
      <c r="O1009" s="131"/>
      <c r="P1009" s="131"/>
      <c r="Q1009" s="131"/>
      <c r="R1009" s="131"/>
      <c r="S1009" s="131"/>
      <c r="T1009" s="131"/>
      <c r="U1009" s="131"/>
      <c r="V1009" s="131"/>
      <c r="W1009" s="131"/>
      <c r="X1009" s="131"/>
      <c r="Y1009" s="131"/>
      <c r="Z1009" s="131"/>
    </row>
    <row r="1010" ht="15.75" customHeight="true">
      <c r="A1010" s="131"/>
      <c r="B1010" s="131"/>
      <c r="C1010" s="131"/>
      <c r="D1010" s="131"/>
      <c r="E1010" s="131"/>
      <c r="F1010" s="131"/>
      <c r="G1010" s="131"/>
      <c r="H1010" s="131"/>
      <c r="I1010" s="131"/>
      <c r="J1010" s="131"/>
      <c r="K1010" s="131"/>
      <c r="L1010" s="131"/>
      <c r="M1010" s="131"/>
      <c r="N1010" s="131"/>
      <c r="O1010" s="131"/>
      <c r="P1010" s="131"/>
      <c r="Q1010" s="131"/>
      <c r="R1010" s="131"/>
      <c r="S1010" s="131"/>
      <c r="T1010" s="131"/>
      <c r="U1010" s="131"/>
      <c r="V1010" s="131"/>
      <c r="W1010" s="131"/>
      <c r="X1010" s="131"/>
      <c r="Y1010" s="131"/>
      <c r="Z1010" s="131"/>
    </row>
    <row r="1011" ht="15.75" customHeight="true">
      <c r="A1011" s="131"/>
      <c r="B1011" s="131"/>
      <c r="C1011" s="131"/>
      <c r="D1011" s="131"/>
      <c r="E1011" s="131"/>
      <c r="F1011" s="131"/>
      <c r="G1011" s="131"/>
      <c r="H1011" s="131"/>
      <c r="I1011" s="131"/>
      <c r="J1011" s="131"/>
      <c r="K1011" s="131"/>
      <c r="L1011" s="131"/>
      <c r="M1011" s="131"/>
      <c r="N1011" s="131"/>
      <c r="O1011" s="131"/>
      <c r="P1011" s="131"/>
      <c r="Q1011" s="131"/>
      <c r="R1011" s="131"/>
      <c r="S1011" s="131"/>
      <c r="T1011" s="131"/>
      <c r="U1011" s="131"/>
      <c r="V1011" s="131"/>
      <c r="W1011" s="131"/>
      <c r="X1011" s="131"/>
      <c r="Y1011" s="131"/>
      <c r="Z1011" s="131"/>
    </row>
    <row r="1012" ht="15.75" customHeight="true">
      <c r="A1012" s="131"/>
      <c r="B1012" s="131"/>
      <c r="C1012" s="131"/>
      <c r="D1012" s="131"/>
      <c r="E1012" s="131"/>
      <c r="F1012" s="131"/>
      <c r="G1012" s="131"/>
      <c r="H1012" s="131"/>
      <c r="I1012" s="131"/>
      <c r="J1012" s="131"/>
      <c r="K1012" s="131"/>
      <c r="L1012" s="131"/>
      <c r="M1012" s="131"/>
      <c r="N1012" s="131"/>
      <c r="O1012" s="131"/>
      <c r="P1012" s="131"/>
      <c r="Q1012" s="131"/>
      <c r="R1012" s="131"/>
      <c r="S1012" s="131"/>
      <c r="T1012" s="131"/>
      <c r="U1012" s="131"/>
      <c r="V1012" s="131"/>
      <c r="W1012" s="131"/>
      <c r="X1012" s="131"/>
      <c r="Y1012" s="131"/>
      <c r="Z1012" s="131"/>
    </row>
    <row r="1013" ht="15.75" customHeight="true">
      <c r="A1013" s="131"/>
      <c r="B1013" s="131"/>
      <c r="C1013" s="131"/>
      <c r="D1013" s="131"/>
      <c r="E1013" s="131"/>
      <c r="F1013" s="131"/>
      <c r="G1013" s="131"/>
      <c r="H1013" s="131"/>
      <c r="I1013" s="131"/>
      <c r="J1013" s="131"/>
      <c r="K1013" s="131"/>
      <c r="L1013" s="131"/>
      <c r="M1013" s="131"/>
      <c r="N1013" s="131"/>
      <c r="O1013" s="131"/>
      <c r="P1013" s="131"/>
      <c r="Q1013" s="131"/>
      <c r="R1013" s="131"/>
      <c r="S1013" s="131"/>
      <c r="T1013" s="131"/>
      <c r="U1013" s="131"/>
      <c r="V1013" s="131"/>
      <c r="W1013" s="131"/>
      <c r="X1013" s="131"/>
      <c r="Y1013" s="131"/>
      <c r="Z1013" s="131"/>
    </row>
    <row r="1014" ht="15.75" customHeight="true">
      <c r="A1014" s="131"/>
      <c r="B1014" s="131"/>
      <c r="C1014" s="131"/>
      <c r="D1014" s="131"/>
      <c r="E1014" s="131"/>
      <c r="F1014" s="131"/>
      <c r="G1014" s="131"/>
      <c r="H1014" s="131"/>
      <c r="I1014" s="131"/>
      <c r="J1014" s="131"/>
      <c r="K1014" s="131"/>
      <c r="L1014" s="131"/>
      <c r="M1014" s="131"/>
      <c r="N1014" s="131"/>
      <c r="O1014" s="131"/>
      <c r="P1014" s="131"/>
      <c r="Q1014" s="131"/>
      <c r="R1014" s="131"/>
      <c r="S1014" s="131"/>
      <c r="T1014" s="131"/>
      <c r="U1014" s="131"/>
      <c r="V1014" s="131"/>
      <c r="W1014" s="131"/>
      <c r="X1014" s="131"/>
      <c r="Y1014" s="131"/>
      <c r="Z1014" s="131"/>
    </row>
    <row r="1015" ht="15.75" customHeight="true">
      <c r="A1015" s="131"/>
      <c r="B1015" s="131"/>
      <c r="C1015" s="131"/>
      <c r="D1015" s="131"/>
      <c r="E1015" s="131"/>
      <c r="F1015" s="131"/>
      <c r="G1015" s="131"/>
      <c r="H1015" s="131"/>
      <c r="I1015" s="131"/>
      <c r="J1015" s="131"/>
      <c r="K1015" s="131"/>
      <c r="L1015" s="131"/>
      <c r="M1015" s="131"/>
      <c r="N1015" s="131"/>
      <c r="O1015" s="131"/>
      <c r="P1015" s="131"/>
      <c r="Q1015" s="131"/>
      <c r="R1015" s="131"/>
      <c r="S1015" s="131"/>
      <c r="T1015" s="131"/>
      <c r="U1015" s="131"/>
      <c r="V1015" s="131"/>
      <c r="W1015" s="131"/>
      <c r="X1015" s="131"/>
      <c r="Y1015" s="131"/>
      <c r="Z1015" s="131"/>
    </row>
    <row r="1016" ht="15.75" customHeight="true">
      <c r="A1016" s="131"/>
      <c r="B1016" s="131"/>
      <c r="C1016" s="131"/>
      <c r="D1016" s="131"/>
      <c r="E1016" s="131"/>
      <c r="F1016" s="131"/>
      <c r="G1016" s="131"/>
      <c r="H1016" s="131"/>
      <c r="I1016" s="131"/>
      <c r="J1016" s="131"/>
      <c r="K1016" s="131"/>
      <c r="L1016" s="131"/>
      <c r="M1016" s="131"/>
      <c r="N1016" s="131"/>
      <c r="O1016" s="131"/>
      <c r="P1016" s="131"/>
      <c r="Q1016" s="131"/>
      <c r="R1016" s="131"/>
      <c r="S1016" s="131"/>
      <c r="T1016" s="131"/>
      <c r="U1016" s="131"/>
      <c r="V1016" s="131"/>
      <c r="W1016" s="131"/>
      <c r="X1016" s="131"/>
      <c r="Y1016" s="131"/>
      <c r="Z1016" s="131"/>
    </row>
    <row r="1017" ht="15.75" customHeight="true">
      <c r="A1017" s="131"/>
      <c r="B1017" s="131"/>
      <c r="C1017" s="131"/>
      <c r="D1017" s="131"/>
      <c r="E1017" s="131"/>
      <c r="F1017" s="131"/>
      <c r="G1017" s="131"/>
      <c r="H1017" s="131"/>
      <c r="I1017" s="131"/>
      <c r="J1017" s="131"/>
      <c r="K1017" s="131"/>
      <c r="L1017" s="131"/>
      <c r="M1017" s="131"/>
      <c r="N1017" s="131"/>
      <c r="O1017" s="131"/>
      <c r="P1017" s="131"/>
      <c r="Q1017" s="131"/>
      <c r="R1017" s="131"/>
      <c r="S1017" s="131"/>
      <c r="T1017" s="131"/>
      <c r="U1017" s="131"/>
      <c r="V1017" s="131"/>
      <c r="W1017" s="131"/>
      <c r="X1017" s="131"/>
      <c r="Y1017" s="131"/>
      <c r="Z1017" s="131"/>
    </row>
    <row r="1018" ht="15.75" customHeight="true">
      <c r="A1018" s="131"/>
      <c r="B1018" s="131"/>
      <c r="C1018" s="131"/>
      <c r="D1018" s="131"/>
      <c r="E1018" s="131"/>
      <c r="F1018" s="131"/>
      <c r="G1018" s="131"/>
      <c r="H1018" s="131"/>
      <c r="I1018" s="131"/>
      <c r="J1018" s="131"/>
      <c r="K1018" s="131"/>
      <c r="L1018" s="131"/>
      <c r="M1018" s="131"/>
      <c r="N1018" s="131"/>
      <c r="O1018" s="131"/>
      <c r="P1018" s="131"/>
      <c r="Q1018" s="131"/>
      <c r="R1018" s="131"/>
      <c r="S1018" s="131"/>
      <c r="T1018" s="131"/>
      <c r="U1018" s="131"/>
      <c r="V1018" s="131"/>
      <c r="W1018" s="131"/>
      <c r="X1018" s="131"/>
      <c r="Y1018" s="131"/>
      <c r="Z1018" s="131"/>
    </row>
    <row r="1019" ht="15.75" customHeight="true">
      <c r="A1019" s="131"/>
      <c r="B1019" s="131"/>
      <c r="C1019" s="131"/>
      <c r="D1019" s="131"/>
      <c r="E1019" s="131"/>
      <c r="F1019" s="131"/>
      <c r="G1019" s="131"/>
      <c r="H1019" s="131"/>
      <c r="I1019" s="131"/>
      <c r="J1019" s="131"/>
      <c r="K1019" s="131"/>
      <c r="L1019" s="131"/>
      <c r="M1019" s="131"/>
      <c r="N1019" s="131"/>
      <c r="O1019" s="131"/>
      <c r="P1019" s="131"/>
      <c r="Q1019" s="131"/>
      <c r="R1019" s="131"/>
      <c r="S1019" s="131"/>
      <c r="T1019" s="131"/>
      <c r="U1019" s="131"/>
      <c r="V1019" s="131"/>
      <c r="W1019" s="131"/>
      <c r="X1019" s="131"/>
      <c r="Y1019" s="131"/>
      <c r="Z1019" s="131"/>
    </row>
    <row r="1020" ht="15.75" customHeight="true">
      <c r="A1020" s="131"/>
      <c r="B1020" s="131"/>
      <c r="C1020" s="131"/>
      <c r="D1020" s="131"/>
      <c r="E1020" s="131"/>
      <c r="F1020" s="131"/>
      <c r="G1020" s="131"/>
      <c r="H1020" s="131"/>
      <c r="I1020" s="131"/>
      <c r="J1020" s="131"/>
      <c r="K1020" s="131"/>
      <c r="L1020" s="131"/>
      <c r="M1020" s="131"/>
      <c r="N1020" s="131"/>
      <c r="O1020" s="131"/>
      <c r="P1020" s="131"/>
      <c r="Q1020" s="131"/>
      <c r="R1020" s="131"/>
      <c r="S1020" s="131"/>
      <c r="T1020" s="131"/>
      <c r="U1020" s="131"/>
      <c r="V1020" s="131"/>
      <c r="W1020" s="131"/>
      <c r="X1020" s="131"/>
      <c r="Y1020" s="131"/>
      <c r="Z1020" s="131"/>
    </row>
    <row r="1021" ht="15.75" customHeight="true">
      <c r="A1021" s="131"/>
      <c r="B1021" s="131"/>
      <c r="C1021" s="131"/>
      <c r="D1021" s="131"/>
      <c r="E1021" s="131"/>
      <c r="F1021" s="131"/>
      <c r="G1021" s="131"/>
      <c r="H1021" s="131"/>
      <c r="I1021" s="131"/>
      <c r="J1021" s="131"/>
      <c r="K1021" s="131"/>
      <c r="L1021" s="131"/>
      <c r="M1021" s="131"/>
      <c r="N1021" s="131"/>
      <c r="O1021" s="131"/>
      <c r="P1021" s="131"/>
      <c r="Q1021" s="131"/>
      <c r="R1021" s="131"/>
      <c r="S1021" s="131"/>
      <c r="T1021" s="131"/>
      <c r="U1021" s="131"/>
      <c r="V1021" s="131"/>
      <c r="W1021" s="131"/>
      <c r="X1021" s="131"/>
      <c r="Y1021" s="131"/>
      <c r="Z1021" s="131"/>
    </row>
  </sheetData>
  <mergeCells count="32">
    <mergeCell ref="A63:N63"/>
    <mergeCell ref="A69:N69"/>
    <mergeCell ref="A75:N75"/>
    <mergeCell ref="A1:N1"/>
    <mergeCell ref="A3:N3"/>
    <mergeCell ref="A12:N12"/>
    <mergeCell ref="A25:N25"/>
    <mergeCell ref="A34:N34"/>
    <mergeCell ref="A41:N41"/>
    <mergeCell ref="A52:N52"/>
    <mergeCell ref="A107:N107"/>
  </mergeCells>
  <pageMargins bottom="0.75" footer="0.3" header="0.3" left="0.7" right="0.7" top="0.75"/>
</worksheet>
</file>

<file path=xl/worksheets/sheet7.xml><?xml version="1.0" encoding="utf-8"?>
<worksheet xmlns="http://schemas.openxmlformats.org/spreadsheetml/2006/main">
  <sheetPr>
    <tabColor rgb="00FF00"/>
  </sheetPr>
  <dimension ref="A1:N177"/>
  <sheetViews>
    <sheetView workbookViewId="0">
      <pane xSplit="3.0" ySplit="2.0" state="frozen" topLeftCell="D3" activePane="bottomRight"/>
      <selection pane="bottomRight"/>
    </sheetView>
  </sheetViews>
  <sheetFormatPr defaultRowHeight="15.0"/>
  <cols>
    <col min="1" max="1" customWidth="true" width="13.0"/>
    <col min="2" max="2" customWidth="true" width="36.0"/>
    <col min="3" max="3" customWidth="true" width="34.0"/>
    <col min="4" max="4" customWidth="true" width="30.0"/>
    <col min="5" max="5" customWidth="true" width="34.0"/>
    <col min="6" max="6" customWidth="true" width="22.0"/>
    <col min="7" max="7" customWidth="true" width="34.0"/>
    <col min="8" max="8" customWidth="true" width="28.0"/>
    <col min="9" max="9" customWidth="true" width="18.0"/>
    <col min="10" max="10" customWidth="true" width="14.0"/>
    <col min="11" max="11" customWidth="true" width="12.0"/>
    <col min="12" max="12" customWidth="true" width="8.0"/>
    <col min="13" max="13" customWidth="true" width="12.0"/>
    <col min="14" max="14" customWidth="true" width="13.0"/>
    <col min="15" max="15" customWidth="true" width="8.0"/>
    <col min="16" max="16" customWidth="true" width="8.0"/>
  </cols>
  <sheetData>
    <row r="1" ht="30.0" customHeight="true">
      <c r="A1" s="142" t="s">
        <v>1903</v>
      </c>
      <c r="B1" s="142"/>
      <c r="C1" s="142"/>
      <c r="D1" s="142"/>
      <c r="E1" s="142"/>
      <c r="F1" s="142"/>
      <c r="G1" s="142"/>
      <c r="H1" s="142"/>
      <c r="I1" s="142"/>
      <c r="J1" s="142"/>
      <c r="K1" s="142"/>
      <c r="L1" s="142"/>
      <c r="M1" s="142"/>
      <c r="N1" s="142"/>
    </row>
    <row r="2" ht="24.0" customHeight="true">
      <c r="A2" s="143" t="s">
        <v>252</v>
      </c>
      <c r="B2" s="143" t="s">
        <v>253</v>
      </c>
      <c r="C2" s="143" t="s">
        <v>254</v>
      </c>
      <c r="D2" s="143" t="s">
        <v>255</v>
      </c>
      <c r="E2" s="143" t="s">
        <v>256</v>
      </c>
      <c r="F2" s="143" t="s">
        <v>257</v>
      </c>
      <c r="G2" s="143" t="s">
        <v>258</v>
      </c>
      <c r="H2" s="143" t="s">
        <v>259</v>
      </c>
      <c r="I2" s="143" t="s">
        <v>260</v>
      </c>
      <c r="J2" s="143" t="s">
        <v>261</v>
      </c>
      <c r="K2" s="143" t="s">
        <v>224</v>
      </c>
      <c r="L2" s="143" t="s">
        <v>262</v>
      </c>
      <c r="M2" s="143" t="s">
        <v>263</v>
      </c>
      <c r="N2" s="143" t="s">
        <v>264</v>
      </c>
    </row>
    <row r="3" ht="21.75" customHeight="true">
      <c r="A3" s="144" t="s">
        <v>1904</v>
      </c>
      <c r="B3" s="144"/>
      <c r="C3" s="144"/>
      <c r="D3" s="144"/>
      <c r="E3" s="144"/>
      <c r="F3" s="144"/>
      <c r="G3" s="144"/>
      <c r="H3" s="144"/>
      <c r="I3" s="144"/>
      <c r="J3" s="144"/>
      <c r="K3" s="144"/>
      <c r="L3" s="144"/>
      <c r="M3" s="144"/>
      <c r="N3" s="144"/>
    </row>
    <row r="4" ht="90.0" customHeight="true">
      <c r="A4" s="145" t="s">
        <v>1905</v>
      </c>
      <c r="B4" s="146" t="s">
        <v>1906</v>
      </c>
      <c r="C4" s="146" t="s">
        <v>1907</v>
      </c>
      <c r="D4" s="146" t="s">
        <v>1908</v>
      </c>
      <c r="E4" s="146" t="s">
        <v>1909</v>
      </c>
      <c r="F4" s="146" t="s">
        <v>1910</v>
      </c>
      <c r="G4" s="146" t="s">
        <v>1911</v>
      </c>
      <c r="H4" s="146" t="s">
        <v>1912</v>
      </c>
      <c r="I4" s="146"/>
      <c r="J4" s="146"/>
      <c r="K4" s="147" t="s">
        <v>225</v>
      </c>
      <c r="L4" s="145" t="s">
        <v>1341</v>
      </c>
      <c r="M4" s="148" t="s">
        <v>1913</v>
      </c>
      <c r="N4" s="149" t="s">
        <v>276</v>
      </c>
    </row>
    <row r="5" ht="90.0" customHeight="true">
      <c r="A5" s="145" t="s">
        <v>1914</v>
      </c>
      <c r="B5" s="146" t="s">
        <v>1915</v>
      </c>
      <c r="C5" s="146" t="s">
        <v>1916</v>
      </c>
      <c r="D5" s="146" t="s">
        <v>1917</v>
      </c>
      <c r="E5" s="146" t="s">
        <v>1918</v>
      </c>
      <c r="F5" s="146" t="s">
        <v>1919</v>
      </c>
      <c r="G5" s="146" t="s">
        <v>1920</v>
      </c>
      <c r="H5" s="146" t="s">
        <v>284</v>
      </c>
      <c r="I5" s="146"/>
      <c r="J5" s="146"/>
      <c r="K5" s="150" t="s">
        <v>227</v>
      </c>
      <c r="L5" s="145" t="s">
        <v>1341</v>
      </c>
      <c r="M5" s="148" t="s">
        <v>1913</v>
      </c>
      <c r="N5" s="149" t="s">
        <v>276</v>
      </c>
    </row>
    <row r="6" ht="90.0" customHeight="true">
      <c r="A6" s="145" t="s">
        <v>1921</v>
      </c>
      <c r="B6" s="146" t="s">
        <v>1922</v>
      </c>
      <c r="C6" s="146" t="s">
        <v>1923</v>
      </c>
      <c r="D6" s="146" t="s">
        <v>1924</v>
      </c>
      <c r="E6" s="146" t="s">
        <v>1925</v>
      </c>
      <c r="F6" s="146" t="s">
        <v>1926</v>
      </c>
      <c r="G6" s="146" t="s">
        <v>1927</v>
      </c>
      <c r="H6" s="146" t="s">
        <v>284</v>
      </c>
      <c r="I6" s="146"/>
      <c r="J6" s="146"/>
      <c r="K6" s="150" t="s">
        <v>227</v>
      </c>
      <c r="L6" s="145" t="s">
        <v>1928</v>
      </c>
      <c r="M6" s="148" t="s">
        <v>1929</v>
      </c>
      <c r="N6" s="149" t="s">
        <v>276</v>
      </c>
    </row>
    <row r="7" ht="90.0" customHeight="true">
      <c r="A7" s="145" t="s">
        <v>1930</v>
      </c>
      <c r="B7" s="146" t="s">
        <v>1931</v>
      </c>
      <c r="C7" s="146" t="s">
        <v>1932</v>
      </c>
      <c r="D7" s="146" t="s">
        <v>1933</v>
      </c>
      <c r="E7" s="146" t="s">
        <v>1934</v>
      </c>
      <c r="F7" s="146" t="s">
        <v>1360</v>
      </c>
      <c r="G7" s="146" t="s">
        <v>1935</v>
      </c>
      <c r="H7" s="146" t="s">
        <v>1362</v>
      </c>
      <c r="I7" s="146"/>
      <c r="J7" s="146"/>
      <c r="K7" s="150" t="s">
        <v>227</v>
      </c>
      <c r="L7" s="145" t="s">
        <v>1341</v>
      </c>
      <c r="M7" s="148" t="s">
        <v>1913</v>
      </c>
      <c r="N7" s="149" t="s">
        <v>1163</v>
      </c>
    </row>
    <row r="8" ht="90.0" customHeight="true">
      <c r="A8" s="145" t="s">
        <v>1936</v>
      </c>
      <c r="B8" s="146" t="s">
        <v>1937</v>
      </c>
      <c r="C8" s="146" t="s">
        <v>1938</v>
      </c>
      <c r="D8" s="146" t="s">
        <v>1939</v>
      </c>
      <c r="E8" s="146" t="s">
        <v>1940</v>
      </c>
      <c r="F8" s="146" t="s">
        <v>1368</v>
      </c>
      <c r="G8" s="146" t="s">
        <v>1369</v>
      </c>
      <c r="H8" s="146" t="s">
        <v>1370</v>
      </c>
      <c r="I8" s="146"/>
      <c r="J8" s="146"/>
      <c r="K8" s="151" t="s">
        <v>229</v>
      </c>
      <c r="L8" s="145" t="s">
        <v>1341</v>
      </c>
      <c r="M8" s="148" t="s">
        <v>1913</v>
      </c>
      <c r="N8" s="149" t="s">
        <v>314</v>
      </c>
    </row>
    <row r="9" ht="90.0" customHeight="true">
      <c r="A9" s="145" t="s">
        <v>1941</v>
      </c>
      <c r="B9" s="146" t="s">
        <v>1942</v>
      </c>
      <c r="C9" s="146" t="s">
        <v>1943</v>
      </c>
      <c r="D9" s="146" t="s">
        <v>1944</v>
      </c>
      <c r="E9" s="146" t="s">
        <v>1945</v>
      </c>
      <c r="F9" s="146" t="s">
        <v>1946</v>
      </c>
      <c r="G9" s="146" t="s">
        <v>1947</v>
      </c>
      <c r="H9" s="146" t="s">
        <v>313</v>
      </c>
      <c r="I9" s="146"/>
      <c r="J9" s="146"/>
      <c r="K9" s="151" t="s">
        <v>229</v>
      </c>
      <c r="L9" s="145" t="s">
        <v>1341</v>
      </c>
      <c r="M9" s="148" t="s">
        <v>1913</v>
      </c>
      <c r="N9" s="149" t="s">
        <v>314</v>
      </c>
    </row>
    <row r="10" ht="90.0" customHeight="true">
      <c r="A10" s="145" t="s">
        <v>1948</v>
      </c>
      <c r="B10" s="146" t="s">
        <v>1949</v>
      </c>
      <c r="C10" s="146" t="s">
        <v>1950</v>
      </c>
      <c r="D10" s="146" t="s">
        <v>1933</v>
      </c>
      <c r="E10" s="146" t="s">
        <v>1951</v>
      </c>
      <c r="F10" s="146" t="s">
        <v>1952</v>
      </c>
      <c r="G10" s="146" t="s">
        <v>1953</v>
      </c>
      <c r="H10" s="146" t="s">
        <v>1954</v>
      </c>
      <c r="I10" s="146"/>
      <c r="J10" s="146"/>
      <c r="K10" s="147" t="s">
        <v>225</v>
      </c>
      <c r="L10" s="145" t="s">
        <v>1341</v>
      </c>
      <c r="M10" s="148" t="s">
        <v>1913</v>
      </c>
      <c r="N10" s="149" t="s">
        <v>276</v>
      </c>
    </row>
    <row r="11" ht="90.0" customHeight="true">
      <c r="A11" s="145" t="s">
        <v>1955</v>
      </c>
      <c r="B11" s="146" t="s">
        <v>1956</v>
      </c>
      <c r="C11" s="146" t="s">
        <v>1957</v>
      </c>
      <c r="D11" s="146" t="s">
        <v>1958</v>
      </c>
      <c r="E11" s="146" t="s">
        <v>1959</v>
      </c>
      <c r="F11" s="146" t="s">
        <v>1960</v>
      </c>
      <c r="G11" s="146" t="s">
        <v>1961</v>
      </c>
      <c r="H11" s="146" t="s">
        <v>1962</v>
      </c>
      <c r="I11" s="146"/>
      <c r="J11" s="146"/>
      <c r="K11" s="150" t="s">
        <v>227</v>
      </c>
      <c r="L11" s="145" t="s">
        <v>1341</v>
      </c>
      <c r="M11" s="148" t="s">
        <v>1913</v>
      </c>
      <c r="N11" s="149" t="s">
        <v>276</v>
      </c>
    </row>
    <row r="12" ht="90.0" customHeight="true">
      <c r="A12" s="145" t="s">
        <v>1963</v>
      </c>
      <c r="B12" s="146" t="s">
        <v>1964</v>
      </c>
      <c r="C12" s="146" t="s">
        <v>1965</v>
      </c>
      <c r="D12" s="146" t="s">
        <v>1966</v>
      </c>
      <c r="E12" s="146" t="s">
        <v>1967</v>
      </c>
      <c r="F12" s="146" t="s">
        <v>1968</v>
      </c>
      <c r="G12" s="146" t="s">
        <v>1969</v>
      </c>
      <c r="H12" s="146" t="s">
        <v>1970</v>
      </c>
      <c r="I12" s="146"/>
      <c r="J12" s="146"/>
      <c r="K12" s="151" t="s">
        <v>229</v>
      </c>
      <c r="L12" s="145" t="s">
        <v>1928</v>
      </c>
      <c r="M12" s="148" t="s">
        <v>1929</v>
      </c>
      <c r="N12" s="149" t="s">
        <v>314</v>
      </c>
    </row>
    <row r="13" ht="90.0" customHeight="true">
      <c r="A13" s="145" t="s">
        <v>2852</v>
      </c>
      <c r="B13" s="146" t="s">
        <v>2853</v>
      </c>
      <c r="C13" s="146" t="s">
        <v>2854</v>
      </c>
      <c r="D13" s="146" t="s">
        <v>2855</v>
      </c>
      <c r="E13" s="146" t="s">
        <v>2856</v>
      </c>
      <c r="F13" s="146" t="s">
        <v>2857</v>
      </c>
      <c r="G13" s="146" t="s">
        <v>2858</v>
      </c>
      <c r="H13" s="146" t="s">
        <v>313</v>
      </c>
      <c r="I13" s="146"/>
      <c r="J13" s="146"/>
      <c r="K13" s="151" t="s">
        <v>229</v>
      </c>
      <c r="L13" s="145" t="s">
        <v>2633</v>
      </c>
      <c r="M13" s="148" t="n">
        <v>46295.0</v>
      </c>
      <c r="N13" s="149" t="s">
        <v>314</v>
      </c>
    </row>
    <row r="14" ht="90.0" customHeight="true">
      <c r="A14" s="145" t="s">
        <v>2859</v>
      </c>
      <c r="B14" s="146" t="s">
        <v>2860</v>
      </c>
      <c r="C14" s="146" t="s">
        <v>2861</v>
      </c>
      <c r="D14" s="146" t="s">
        <v>2855</v>
      </c>
      <c r="E14" s="146" t="s">
        <v>2862</v>
      </c>
      <c r="F14" s="146" t="s">
        <v>2857</v>
      </c>
      <c r="G14" s="146" t="s">
        <v>2863</v>
      </c>
      <c r="H14" s="146" t="s">
        <v>313</v>
      </c>
      <c r="I14" s="146"/>
      <c r="J14" s="146"/>
      <c r="K14" s="151" t="s">
        <v>229</v>
      </c>
      <c r="L14" s="145" t="s">
        <v>2633</v>
      </c>
      <c r="M14" s="148" t="n">
        <v>46295.0</v>
      </c>
      <c r="N14" s="149" t="s">
        <v>314</v>
      </c>
    </row>
    <row r="15" ht="90.0" customHeight="true">
      <c r="A15" s="145" t="s">
        <v>2864</v>
      </c>
      <c r="B15" s="146" t="s">
        <v>2865</v>
      </c>
      <c r="C15" s="146" t="s">
        <v>2866</v>
      </c>
      <c r="D15" s="146" t="s">
        <v>1933</v>
      </c>
      <c r="E15" s="146" t="s">
        <v>2867</v>
      </c>
      <c r="F15" s="146" t="s">
        <v>2868</v>
      </c>
      <c r="G15" s="146" t="s">
        <v>2869</v>
      </c>
      <c r="H15" s="146" t="s">
        <v>2870</v>
      </c>
      <c r="I15" s="146"/>
      <c r="J15" s="146"/>
      <c r="K15" s="151" t="s">
        <v>227</v>
      </c>
      <c r="L15" s="145" t="s">
        <v>2633</v>
      </c>
      <c r="M15" s="148" t="n">
        <v>46295.0</v>
      </c>
      <c r="N15" s="149" t="s">
        <v>314</v>
      </c>
    </row>
    <row r="16" ht="90.0" customHeight="true">
      <c r="A16" s="145" t="s">
        <v>2871</v>
      </c>
      <c r="B16" s="146" t="s">
        <v>2872</v>
      </c>
      <c r="C16" s="146" t="s">
        <v>2873</v>
      </c>
      <c r="D16" s="146" t="s">
        <v>2874</v>
      </c>
      <c r="E16" s="146" t="s">
        <v>2875</v>
      </c>
      <c r="F16" s="146" t="s">
        <v>2876</v>
      </c>
      <c r="G16" s="146" t="s">
        <v>2877</v>
      </c>
      <c r="H16" s="146" t="s">
        <v>2870</v>
      </c>
      <c r="I16" s="146"/>
      <c r="J16" s="146"/>
      <c r="K16" s="151" t="s">
        <v>227</v>
      </c>
      <c r="L16" s="145" t="s">
        <v>2633</v>
      </c>
      <c r="M16" s="148" t="n">
        <v>46295.0</v>
      </c>
      <c r="N16" s="149" t="s">
        <v>276</v>
      </c>
    </row>
    <row r="17" ht="90.0" customHeight="true">
      <c r="A17" s="145" t="s">
        <v>2878</v>
      </c>
      <c r="B17" s="146" t="s">
        <v>2879</v>
      </c>
      <c r="C17" s="146" t="s">
        <v>2880</v>
      </c>
      <c r="D17" s="146" t="s">
        <v>2628</v>
      </c>
      <c r="E17" s="146" t="s">
        <v>2881</v>
      </c>
      <c r="F17" s="146" t="s">
        <v>2882</v>
      </c>
      <c r="G17" s="146" t="s">
        <v>2883</v>
      </c>
      <c r="H17" s="146" t="s">
        <v>2649</v>
      </c>
      <c r="I17" s="146"/>
      <c r="J17" s="146"/>
      <c r="K17" s="151" t="s">
        <v>229</v>
      </c>
      <c r="L17" s="145" t="s">
        <v>2633</v>
      </c>
      <c r="M17" s="148" t="n">
        <v>46295.0</v>
      </c>
      <c r="N17" s="149" t="s">
        <v>314</v>
      </c>
    </row>
    <row r="18" ht="90.0" customHeight="true">
      <c r="A18" s="145" t="s">
        <v>2884</v>
      </c>
      <c r="B18" s="146" t="s">
        <v>2885</v>
      </c>
      <c r="C18" s="146" t="s">
        <v>2886</v>
      </c>
      <c r="D18" s="146" t="s">
        <v>2887</v>
      </c>
      <c r="E18" s="146" t="s">
        <v>2888</v>
      </c>
      <c r="F18" s="146" t="s">
        <v>2889</v>
      </c>
      <c r="G18" s="146" t="s">
        <v>2890</v>
      </c>
      <c r="H18" s="146" t="s">
        <v>2649</v>
      </c>
      <c r="I18" s="146"/>
      <c r="J18" s="146"/>
      <c r="K18" s="151" t="s">
        <v>229</v>
      </c>
      <c r="L18" s="145" t="s">
        <v>2633</v>
      </c>
      <c r="M18" s="148" t="n">
        <v>46295.0</v>
      </c>
      <c r="N18" s="149" t="s">
        <v>314</v>
      </c>
    </row>
    <row r="19" ht="21.75" customHeight="true">
      <c r="A19" s="144" t="s">
        <v>1971</v>
      </c>
      <c r="B19" s="144"/>
      <c r="C19" s="144"/>
      <c r="D19" s="144"/>
      <c r="E19" s="144"/>
      <c r="F19" s="144"/>
      <c r="G19" s="144"/>
      <c r="H19" s="144"/>
      <c r="I19" s="144"/>
      <c r="J19" s="144"/>
      <c r="K19" s="144"/>
      <c r="L19" s="144"/>
      <c r="M19" s="144"/>
      <c r="N19" s="144"/>
    </row>
    <row r="20" ht="90.0" customHeight="true">
      <c r="A20" s="145" t="s">
        <v>1972</v>
      </c>
      <c r="B20" s="146" t="s">
        <v>1973</v>
      </c>
      <c r="C20" s="146" t="s">
        <v>1974</v>
      </c>
      <c r="D20" s="146" t="s">
        <v>1975</v>
      </c>
      <c r="E20" s="146" t="s">
        <v>1976</v>
      </c>
      <c r="F20" s="146" t="s">
        <v>1977</v>
      </c>
      <c r="G20" s="146" t="s">
        <v>1978</v>
      </c>
      <c r="H20" s="146" t="s">
        <v>1979</v>
      </c>
      <c r="I20" s="146"/>
      <c r="J20" s="146"/>
      <c r="K20" s="147" t="s">
        <v>225</v>
      </c>
      <c r="L20" s="145" t="s">
        <v>1341</v>
      </c>
      <c r="M20" s="148" t="s">
        <v>1913</v>
      </c>
      <c r="N20" s="149" t="s">
        <v>276</v>
      </c>
    </row>
    <row r="21" ht="90.0" customHeight="true">
      <c r="A21" s="145" t="s">
        <v>1980</v>
      </c>
      <c r="B21" s="146" t="s">
        <v>1981</v>
      </c>
      <c r="C21" s="146" t="s">
        <v>1982</v>
      </c>
      <c r="D21" s="146" t="s">
        <v>1975</v>
      </c>
      <c r="E21" s="146" t="s">
        <v>1983</v>
      </c>
      <c r="F21" s="146" t="s">
        <v>1984</v>
      </c>
      <c r="G21" s="146" t="s">
        <v>1985</v>
      </c>
      <c r="H21" s="146" t="s">
        <v>1986</v>
      </c>
      <c r="I21" s="146"/>
      <c r="J21" s="146"/>
      <c r="K21" s="147" t="s">
        <v>225</v>
      </c>
      <c r="L21" s="145" t="s">
        <v>1341</v>
      </c>
      <c r="M21" s="148" t="s">
        <v>1913</v>
      </c>
      <c r="N21" s="149" t="s">
        <v>337</v>
      </c>
    </row>
    <row r="22" ht="90.0" customHeight="true">
      <c r="A22" s="145" t="s">
        <v>1987</v>
      </c>
      <c r="B22" s="146" t="s">
        <v>1988</v>
      </c>
      <c r="C22" s="146" t="s">
        <v>1989</v>
      </c>
      <c r="D22" s="146" t="s">
        <v>1975</v>
      </c>
      <c r="E22" s="146" t="s">
        <v>1990</v>
      </c>
      <c r="F22" s="146" t="s">
        <v>1991</v>
      </c>
      <c r="G22" s="146" t="s">
        <v>1992</v>
      </c>
      <c r="H22" s="146" t="s">
        <v>1986</v>
      </c>
      <c r="I22" s="146"/>
      <c r="J22" s="146"/>
      <c r="K22" s="147" t="s">
        <v>225</v>
      </c>
      <c r="L22" s="145" t="s">
        <v>1341</v>
      </c>
      <c r="M22" s="148" t="s">
        <v>1913</v>
      </c>
      <c r="N22" s="149" t="s">
        <v>337</v>
      </c>
    </row>
    <row r="23" ht="90.0" customHeight="true">
      <c r="A23" s="145" t="s">
        <v>1993</v>
      </c>
      <c r="B23" s="146" t="s">
        <v>1994</v>
      </c>
      <c r="C23" s="146" t="s">
        <v>1995</v>
      </c>
      <c r="D23" s="146" t="s">
        <v>1975</v>
      </c>
      <c r="E23" s="146" t="s">
        <v>1996</v>
      </c>
      <c r="F23" s="146" t="s">
        <v>1997</v>
      </c>
      <c r="G23" s="146" t="s">
        <v>1992</v>
      </c>
      <c r="H23" s="146" t="s">
        <v>1986</v>
      </c>
      <c r="I23" s="146"/>
      <c r="J23" s="146"/>
      <c r="K23" s="150" t="s">
        <v>227</v>
      </c>
      <c r="L23" s="145" t="s">
        <v>1341</v>
      </c>
      <c r="M23" s="148" t="s">
        <v>1913</v>
      </c>
      <c r="N23" s="149" t="s">
        <v>337</v>
      </c>
    </row>
    <row r="24" ht="90.0" customHeight="true">
      <c r="A24" s="145" t="s">
        <v>1998</v>
      </c>
      <c r="B24" s="146" t="s">
        <v>1999</v>
      </c>
      <c r="C24" s="146" t="s">
        <v>2000</v>
      </c>
      <c r="D24" s="146" t="s">
        <v>1975</v>
      </c>
      <c r="E24" s="146" t="s">
        <v>2001</v>
      </c>
      <c r="F24" s="146" t="s">
        <v>2002</v>
      </c>
      <c r="G24" s="146" t="s">
        <v>2003</v>
      </c>
      <c r="H24" s="146" t="s">
        <v>2004</v>
      </c>
      <c r="I24" s="146"/>
      <c r="J24" s="146"/>
      <c r="K24" s="150" t="s">
        <v>227</v>
      </c>
      <c r="L24" s="145" t="s">
        <v>1928</v>
      </c>
      <c r="M24" s="148" t="s">
        <v>1929</v>
      </c>
      <c r="N24" s="149" t="s">
        <v>337</v>
      </c>
    </row>
    <row r="25" ht="90.0" customHeight="true">
      <c r="A25" s="145" t="s">
        <v>2005</v>
      </c>
      <c r="B25" s="146" t="s">
        <v>2006</v>
      </c>
      <c r="C25" s="146" t="s">
        <v>2007</v>
      </c>
      <c r="D25" s="146" t="s">
        <v>1975</v>
      </c>
      <c r="E25" s="146" t="s">
        <v>2008</v>
      </c>
      <c r="F25" s="146" t="s">
        <v>2009</v>
      </c>
      <c r="G25" s="146" t="s">
        <v>2010</v>
      </c>
      <c r="H25" s="146" t="s">
        <v>2011</v>
      </c>
      <c r="I25" s="146"/>
      <c r="J25" s="146"/>
      <c r="K25" s="147" t="s">
        <v>225</v>
      </c>
      <c r="L25" s="145" t="s">
        <v>1928</v>
      </c>
      <c r="M25" s="148" t="s">
        <v>1929</v>
      </c>
      <c r="N25" s="149" t="s">
        <v>337</v>
      </c>
    </row>
    <row r="26" ht="90.0" customHeight="true">
      <c r="A26" s="145" t="s">
        <v>2012</v>
      </c>
      <c r="B26" s="146" t="s">
        <v>2013</v>
      </c>
      <c r="C26" s="146" t="s">
        <v>2014</v>
      </c>
      <c r="D26" s="146" t="s">
        <v>1975</v>
      </c>
      <c r="E26" s="146" t="s">
        <v>2015</v>
      </c>
      <c r="F26" s="146" t="s">
        <v>2016</v>
      </c>
      <c r="G26" s="146" t="s">
        <v>2017</v>
      </c>
      <c r="H26" s="146" t="s">
        <v>2018</v>
      </c>
      <c r="I26" s="146"/>
      <c r="J26" s="146"/>
      <c r="K26" s="147" t="s">
        <v>225</v>
      </c>
      <c r="L26" s="145" t="s">
        <v>1928</v>
      </c>
      <c r="M26" s="148" t="s">
        <v>1929</v>
      </c>
      <c r="N26" s="149" t="s">
        <v>276</v>
      </c>
    </row>
    <row r="27" ht="90.0" customHeight="true">
      <c r="A27" s="145" t="s">
        <v>2019</v>
      </c>
      <c r="B27" s="146" t="s">
        <v>2020</v>
      </c>
      <c r="C27" s="146" t="s">
        <v>2021</v>
      </c>
      <c r="D27" s="146" t="s">
        <v>1975</v>
      </c>
      <c r="E27" s="146" t="s">
        <v>2022</v>
      </c>
      <c r="F27" s="146" t="s">
        <v>2023</v>
      </c>
      <c r="G27" s="146" t="s">
        <v>2024</v>
      </c>
      <c r="H27" s="146" t="s">
        <v>2011</v>
      </c>
      <c r="I27" s="146"/>
      <c r="J27" s="146"/>
      <c r="K27" s="147" t="s">
        <v>225</v>
      </c>
      <c r="L27" s="145" t="s">
        <v>1928</v>
      </c>
      <c r="M27" s="148" t="s">
        <v>1929</v>
      </c>
      <c r="N27" s="149" t="s">
        <v>337</v>
      </c>
    </row>
    <row r="28" ht="90.0" customHeight="true">
      <c r="A28" s="145" t="s">
        <v>2025</v>
      </c>
      <c r="B28" s="146" t="s">
        <v>2026</v>
      </c>
      <c r="C28" s="146" t="s">
        <v>2027</v>
      </c>
      <c r="D28" s="146" t="s">
        <v>1975</v>
      </c>
      <c r="E28" s="146" t="s">
        <v>2028</v>
      </c>
      <c r="F28" s="146" t="s">
        <v>2029</v>
      </c>
      <c r="G28" s="146" t="s">
        <v>2030</v>
      </c>
      <c r="H28" s="146" t="s">
        <v>2031</v>
      </c>
      <c r="I28" s="146"/>
      <c r="J28" s="146"/>
      <c r="K28" s="147" t="s">
        <v>225</v>
      </c>
      <c r="L28" s="145" t="s">
        <v>1341</v>
      </c>
      <c r="M28" s="148" t="s">
        <v>1913</v>
      </c>
      <c r="N28" s="149" t="s">
        <v>276</v>
      </c>
    </row>
    <row r="29" ht="90.0" customHeight="true">
      <c r="A29" s="145" t="s">
        <v>2032</v>
      </c>
      <c r="B29" s="146" t="s">
        <v>2033</v>
      </c>
      <c r="C29" s="146" t="s">
        <v>2034</v>
      </c>
      <c r="D29" s="146" t="s">
        <v>1975</v>
      </c>
      <c r="E29" s="146" t="s">
        <v>2035</v>
      </c>
      <c r="F29" s="152" t="s">
        <v>2036</v>
      </c>
      <c r="G29" s="146" t="s">
        <v>2037</v>
      </c>
      <c r="H29" s="146" t="s">
        <v>2038</v>
      </c>
      <c r="I29" s="146"/>
      <c r="J29" s="146"/>
      <c r="K29" s="147" t="s">
        <v>225</v>
      </c>
      <c r="L29" s="145" t="s">
        <v>2039</v>
      </c>
      <c r="M29" s="148" t="s">
        <v>1929</v>
      </c>
      <c r="N29" s="149" t="s">
        <v>276</v>
      </c>
    </row>
    <row r="30" ht="90.0" customHeight="true">
      <c r="A30" s="145" t="s">
        <v>2040</v>
      </c>
      <c r="B30" s="146" t="s">
        <v>2041</v>
      </c>
      <c r="C30" s="146" t="s">
        <v>2042</v>
      </c>
      <c r="D30" s="146" t="s">
        <v>1975</v>
      </c>
      <c r="E30" s="146" t="s">
        <v>2043</v>
      </c>
      <c r="F30" s="152" t="s">
        <v>2044</v>
      </c>
      <c r="G30" s="146" t="s">
        <v>2045</v>
      </c>
      <c r="H30" s="146" t="s">
        <v>2046</v>
      </c>
      <c r="I30" s="146"/>
      <c r="J30" s="146"/>
      <c r="K30" s="147" t="s">
        <v>225</v>
      </c>
      <c r="L30" s="145" t="s">
        <v>2039</v>
      </c>
      <c r="M30" s="148" t="s">
        <v>1929</v>
      </c>
      <c r="N30" s="149" t="s">
        <v>276</v>
      </c>
    </row>
    <row r="31" ht="90.0" customHeight="true">
      <c r="A31" s="145" t="s">
        <v>2047</v>
      </c>
      <c r="B31" s="146" t="s">
        <v>2048</v>
      </c>
      <c r="C31" s="146" t="s">
        <v>2049</v>
      </c>
      <c r="D31" s="146" t="s">
        <v>2050</v>
      </c>
      <c r="E31" s="146" t="s">
        <v>2051</v>
      </c>
      <c r="F31" s="146" t="s">
        <v>2052</v>
      </c>
      <c r="G31" s="146" t="s">
        <v>2053</v>
      </c>
      <c r="H31" s="146" t="s">
        <v>2054</v>
      </c>
      <c r="I31" s="146"/>
      <c r="J31" s="146"/>
      <c r="K31" s="150" t="s">
        <v>227</v>
      </c>
      <c r="L31" s="145" t="s">
        <v>2039</v>
      </c>
      <c r="M31" s="148" t="s">
        <v>1929</v>
      </c>
      <c r="N31" s="149" t="s">
        <v>276</v>
      </c>
    </row>
    <row r="32" ht="90.0" customHeight="true">
      <c r="A32" s="145" t="s">
        <v>2055</v>
      </c>
      <c r="B32" s="146" t="s">
        <v>2056</v>
      </c>
      <c r="C32" s="146" t="s">
        <v>2057</v>
      </c>
      <c r="D32" s="146" t="s">
        <v>1975</v>
      </c>
      <c r="E32" s="146" t="s">
        <v>2058</v>
      </c>
      <c r="F32" s="146" t="s">
        <v>2059</v>
      </c>
      <c r="G32" s="146" t="s">
        <v>2060</v>
      </c>
      <c r="H32" s="146" t="s">
        <v>2061</v>
      </c>
      <c r="I32" s="146"/>
      <c r="J32" s="146"/>
      <c r="K32" s="151" t="s">
        <v>229</v>
      </c>
      <c r="L32" s="145" t="s">
        <v>2039</v>
      </c>
      <c r="M32" s="148" t="s">
        <v>1929</v>
      </c>
      <c r="N32" s="149" t="s">
        <v>314</v>
      </c>
    </row>
    <row r="33" ht="90.0" customHeight="true">
      <c r="A33" s="145" t="s">
        <v>2062</v>
      </c>
      <c r="B33" s="146" t="s">
        <v>2063</v>
      </c>
      <c r="C33" s="146" t="s">
        <v>2064</v>
      </c>
      <c r="D33" s="146" t="s">
        <v>1975</v>
      </c>
      <c r="E33" s="146" t="s">
        <v>2065</v>
      </c>
      <c r="F33" s="146" t="s">
        <v>2066</v>
      </c>
      <c r="G33" s="146" t="s">
        <v>2067</v>
      </c>
      <c r="H33" s="146" t="s">
        <v>2068</v>
      </c>
      <c r="I33" s="146"/>
      <c r="J33" s="146"/>
      <c r="K33" s="150" t="s">
        <v>227</v>
      </c>
      <c r="L33" s="145" t="s">
        <v>1341</v>
      </c>
      <c r="M33" s="148" t="s">
        <v>1913</v>
      </c>
      <c r="N33" s="149" t="s">
        <v>314</v>
      </c>
    </row>
    <row r="34" ht="90.0" customHeight="true">
      <c r="A34" s="145" t="s">
        <v>2069</v>
      </c>
      <c r="B34" s="146" t="s">
        <v>2070</v>
      </c>
      <c r="C34" s="146" t="s">
        <v>2071</v>
      </c>
      <c r="D34" s="146" t="s">
        <v>1975</v>
      </c>
      <c r="E34" s="146" t="s">
        <v>2072</v>
      </c>
      <c r="F34" s="146" t="s">
        <v>2073</v>
      </c>
      <c r="G34" s="146" t="s">
        <v>2074</v>
      </c>
      <c r="H34" s="146" t="s">
        <v>2075</v>
      </c>
      <c r="I34" s="146"/>
      <c r="J34" s="146"/>
      <c r="K34" s="150" t="s">
        <v>227</v>
      </c>
      <c r="L34" s="145" t="s">
        <v>1341</v>
      </c>
      <c r="M34" s="148" t="s">
        <v>1913</v>
      </c>
      <c r="N34" s="149" t="s">
        <v>276</v>
      </c>
    </row>
    <row r="35" ht="90.0" customHeight="true">
      <c r="A35" s="145" t="s">
        <v>2076</v>
      </c>
      <c r="B35" s="146" t="s">
        <v>2077</v>
      </c>
      <c r="C35" s="146" t="s">
        <v>2078</v>
      </c>
      <c r="D35" s="146" t="s">
        <v>1975</v>
      </c>
      <c r="E35" s="146" t="s">
        <v>2079</v>
      </c>
      <c r="F35" s="146" t="s">
        <v>2080</v>
      </c>
      <c r="G35" s="146" t="s">
        <v>2081</v>
      </c>
      <c r="H35" s="146" t="s">
        <v>2068</v>
      </c>
      <c r="I35" s="146"/>
      <c r="J35" s="146"/>
      <c r="K35" s="150" t="s">
        <v>227</v>
      </c>
      <c r="L35" s="145" t="s">
        <v>2039</v>
      </c>
      <c r="M35" s="148" t="s">
        <v>1929</v>
      </c>
      <c r="N35" s="149" t="s">
        <v>314</v>
      </c>
    </row>
    <row r="36" ht="90.0" customHeight="true">
      <c r="A36" s="145" t="s">
        <v>2082</v>
      </c>
      <c r="B36" s="146" t="s">
        <v>2083</v>
      </c>
      <c r="C36" s="146" t="s">
        <v>2084</v>
      </c>
      <c r="D36" s="146" t="s">
        <v>1975</v>
      </c>
      <c r="E36" s="146" t="s">
        <v>2085</v>
      </c>
      <c r="F36" s="146" t="s">
        <v>2086</v>
      </c>
      <c r="G36" s="146" t="s">
        <v>2087</v>
      </c>
      <c r="H36" s="146" t="s">
        <v>2088</v>
      </c>
      <c r="I36" s="146"/>
      <c r="J36" s="146"/>
      <c r="K36" s="147" t="s">
        <v>225</v>
      </c>
      <c r="L36" s="145" t="s">
        <v>1928</v>
      </c>
      <c r="M36" s="148" t="s">
        <v>1929</v>
      </c>
      <c r="N36" s="149" t="s">
        <v>337</v>
      </c>
    </row>
    <row r="37" ht="90.0" customHeight="true">
      <c r="A37" s="145" t="s">
        <v>2089</v>
      </c>
      <c r="B37" s="146" t="s">
        <v>2090</v>
      </c>
      <c r="C37" s="146" t="s">
        <v>2091</v>
      </c>
      <c r="D37" s="146" t="s">
        <v>1975</v>
      </c>
      <c r="E37" s="146" t="s">
        <v>2092</v>
      </c>
      <c r="F37" s="146" t="s">
        <v>2093</v>
      </c>
      <c r="G37" s="146" t="s">
        <v>2094</v>
      </c>
      <c r="H37" s="146" t="s">
        <v>2095</v>
      </c>
      <c r="I37" s="146"/>
      <c r="J37" s="146"/>
      <c r="K37" s="151" t="s">
        <v>229</v>
      </c>
      <c r="L37" s="145" t="s">
        <v>1928</v>
      </c>
      <c r="M37" s="148" t="s">
        <v>1929</v>
      </c>
      <c r="N37" s="149" t="s">
        <v>427</v>
      </c>
    </row>
    <row r="38" ht="90.0" customHeight="true">
      <c r="A38" s="145" t="s">
        <v>2096</v>
      </c>
      <c r="B38" s="146" t="s">
        <v>2097</v>
      </c>
      <c r="C38" s="146" t="s">
        <v>2098</v>
      </c>
      <c r="D38" s="146" t="s">
        <v>2099</v>
      </c>
      <c r="E38" s="146" t="s">
        <v>2100</v>
      </c>
      <c r="F38" s="146" t="s">
        <v>2101</v>
      </c>
      <c r="G38" s="146" t="s">
        <v>2102</v>
      </c>
      <c r="H38" s="146" t="s">
        <v>2068</v>
      </c>
      <c r="I38" s="146"/>
      <c r="J38" s="146"/>
      <c r="K38" s="151" t="s">
        <v>229</v>
      </c>
      <c r="L38" s="145" t="s">
        <v>2039</v>
      </c>
      <c r="M38" s="148" t="s">
        <v>1929</v>
      </c>
      <c r="N38" s="149" t="s">
        <v>314</v>
      </c>
    </row>
    <row r="39" ht="90.0" customHeight="true">
      <c r="A39" s="145" t="s">
        <v>2103</v>
      </c>
      <c r="B39" s="146" t="s">
        <v>2104</v>
      </c>
      <c r="C39" s="146" t="s">
        <v>2105</v>
      </c>
      <c r="D39" s="146" t="s">
        <v>1975</v>
      </c>
      <c r="E39" s="146" t="s">
        <v>2106</v>
      </c>
      <c r="F39" s="146" t="s">
        <v>2107</v>
      </c>
      <c r="G39" s="146" t="s">
        <v>2108</v>
      </c>
      <c r="H39" s="146" t="s">
        <v>2109</v>
      </c>
      <c r="I39" s="146"/>
      <c r="J39" s="146"/>
      <c r="K39" s="150" t="s">
        <v>227</v>
      </c>
      <c r="L39" s="145" t="s">
        <v>1341</v>
      </c>
      <c r="M39" s="148" t="s">
        <v>1913</v>
      </c>
      <c r="N39" s="149" t="s">
        <v>276</v>
      </c>
    </row>
    <row r="40" ht="90.0" customHeight="true">
      <c r="A40" s="145" t="s">
        <v>2110</v>
      </c>
      <c r="B40" s="146" t="s">
        <v>2111</v>
      </c>
      <c r="C40" s="146" t="s">
        <v>2112</v>
      </c>
      <c r="D40" s="146" t="s">
        <v>1975</v>
      </c>
      <c r="E40" s="146" t="s">
        <v>2113</v>
      </c>
      <c r="F40" s="146" t="s">
        <v>2114</v>
      </c>
      <c r="G40" s="146" t="s">
        <v>2115</v>
      </c>
      <c r="H40" s="146" t="s">
        <v>2109</v>
      </c>
      <c r="I40" s="146"/>
      <c r="J40" s="146"/>
      <c r="K40" s="150" t="s">
        <v>227</v>
      </c>
      <c r="L40" s="145" t="s">
        <v>1341</v>
      </c>
      <c r="M40" s="148" t="s">
        <v>1913</v>
      </c>
      <c r="N40" s="149" t="s">
        <v>276</v>
      </c>
    </row>
    <row r="41" ht="90.0" customHeight="true">
      <c r="A41" s="145" t="s">
        <v>2116</v>
      </c>
      <c r="B41" s="146" t="s">
        <v>2117</v>
      </c>
      <c r="C41" s="146" t="s">
        <v>2118</v>
      </c>
      <c r="D41" s="146" t="s">
        <v>1975</v>
      </c>
      <c r="E41" s="146" t="s">
        <v>2119</v>
      </c>
      <c r="F41" s="146" t="s">
        <v>2120</v>
      </c>
      <c r="G41" s="146" t="s">
        <v>2121</v>
      </c>
      <c r="H41" s="146" t="s">
        <v>2122</v>
      </c>
      <c r="I41" s="146"/>
      <c r="J41" s="146"/>
      <c r="K41" s="147" t="s">
        <v>225</v>
      </c>
      <c r="L41" s="145" t="s">
        <v>1928</v>
      </c>
      <c r="M41" s="148" t="s">
        <v>1929</v>
      </c>
      <c r="N41" s="149" t="s">
        <v>337</v>
      </c>
    </row>
    <row r="42" ht="90.0" customHeight="true">
      <c r="A42" s="145" t="s">
        <v>2123</v>
      </c>
      <c r="B42" s="146" t="s">
        <v>2124</v>
      </c>
      <c r="C42" s="146" t="s">
        <v>2125</v>
      </c>
      <c r="D42" s="146" t="s">
        <v>1975</v>
      </c>
      <c r="E42" s="146" t="s">
        <v>2126</v>
      </c>
      <c r="F42" s="146" t="s">
        <v>2127</v>
      </c>
      <c r="G42" s="146" t="s">
        <v>2128</v>
      </c>
      <c r="H42" s="146" t="s">
        <v>2129</v>
      </c>
      <c r="I42" s="146"/>
      <c r="J42" s="146"/>
      <c r="K42" s="147" t="s">
        <v>225</v>
      </c>
      <c r="L42" s="145" t="s">
        <v>2130</v>
      </c>
      <c r="M42" s="148" t="s">
        <v>1929</v>
      </c>
      <c r="N42" s="149" t="s">
        <v>337</v>
      </c>
    </row>
    <row r="43" ht="90.0" customHeight="true">
      <c r="A43" s="145" t="s">
        <v>2131</v>
      </c>
      <c r="B43" s="146" t="s">
        <v>2132</v>
      </c>
      <c r="C43" s="146" t="s">
        <v>2133</v>
      </c>
      <c r="D43" s="146" t="s">
        <v>1975</v>
      </c>
      <c r="E43" s="146" t="s">
        <v>2134</v>
      </c>
      <c r="F43" s="146" t="s">
        <v>2135</v>
      </c>
      <c r="G43" s="146" t="s">
        <v>2136</v>
      </c>
      <c r="H43" s="146" t="s">
        <v>2137</v>
      </c>
      <c r="I43" s="146"/>
      <c r="J43" s="146"/>
      <c r="K43" s="147" t="s">
        <v>225</v>
      </c>
      <c r="L43" s="145" t="s">
        <v>2039</v>
      </c>
      <c r="M43" s="148" t="s">
        <v>1929</v>
      </c>
      <c r="N43" s="149" t="s">
        <v>276</v>
      </c>
    </row>
    <row r="44" ht="90.0" customHeight="true">
      <c r="A44" s="145" t="s">
        <v>2138</v>
      </c>
      <c r="B44" s="146" t="s">
        <v>2139</v>
      </c>
      <c r="C44" s="146" t="s">
        <v>2140</v>
      </c>
      <c r="D44" s="146" t="s">
        <v>1975</v>
      </c>
      <c r="E44" s="146" t="s">
        <v>2141</v>
      </c>
      <c r="F44" s="146" t="s">
        <v>2142</v>
      </c>
      <c r="G44" s="146" t="s">
        <v>2143</v>
      </c>
      <c r="H44" s="146" t="s">
        <v>2144</v>
      </c>
      <c r="I44" s="146"/>
      <c r="J44" s="146"/>
      <c r="K44" s="150" t="s">
        <v>227</v>
      </c>
      <c r="L44" s="145" t="s">
        <v>1928</v>
      </c>
      <c r="M44" s="148" t="s">
        <v>1929</v>
      </c>
      <c r="N44" s="149" t="s">
        <v>427</v>
      </c>
    </row>
    <row r="45" ht="90.0" customHeight="true">
      <c r="A45" s="145" t="s">
        <v>2145</v>
      </c>
      <c r="B45" s="146" t="s">
        <v>2146</v>
      </c>
      <c r="C45" s="146" t="s">
        <v>2147</v>
      </c>
      <c r="D45" s="146" t="s">
        <v>1975</v>
      </c>
      <c r="E45" s="146" t="s">
        <v>409</v>
      </c>
      <c r="F45" s="146" t="s">
        <v>410</v>
      </c>
      <c r="G45" s="146" t="s">
        <v>2148</v>
      </c>
      <c r="H45" s="146" t="s">
        <v>2148</v>
      </c>
      <c r="I45" s="146"/>
      <c r="J45" s="146"/>
      <c r="K45" s="150" t="s">
        <v>227</v>
      </c>
      <c r="L45" s="145" t="s">
        <v>1341</v>
      </c>
      <c r="M45" s="148" t="s">
        <v>1913</v>
      </c>
      <c r="N45" s="149" t="s">
        <v>276</v>
      </c>
    </row>
    <row r="46" ht="90.0" customHeight="true">
      <c r="A46" s="145" t="s">
        <v>2692</v>
      </c>
      <c r="B46" s="146" t="s">
        <v>2693</v>
      </c>
      <c r="C46" s="146" t="s">
        <v>2694</v>
      </c>
      <c r="D46" s="146" t="s">
        <v>2695</v>
      </c>
      <c r="E46" s="146" t="s">
        <v>2696</v>
      </c>
      <c r="F46" s="146" t="s">
        <v>2697</v>
      </c>
      <c r="G46" s="146" t="s">
        <v>2698</v>
      </c>
      <c r="H46" s="146" t="s">
        <v>2699</v>
      </c>
      <c r="I46" s="146"/>
      <c r="J46" s="146"/>
      <c r="K46" s="150" t="s">
        <v>225</v>
      </c>
      <c r="L46" s="145" t="s">
        <v>2633</v>
      </c>
      <c r="M46" s="148" t="n">
        <v>46294.0</v>
      </c>
      <c r="N46" s="149" t="s">
        <v>276</v>
      </c>
    </row>
    <row r="47" ht="90.0" customHeight="true">
      <c r="A47" s="145" t="s">
        <v>2700</v>
      </c>
      <c r="B47" s="146" t="s">
        <v>2701</v>
      </c>
      <c r="C47" s="146" t="s">
        <v>2702</v>
      </c>
      <c r="D47" s="146" t="s">
        <v>1975</v>
      </c>
      <c r="E47" s="146" t="s">
        <v>2703</v>
      </c>
      <c r="F47" s="146" t="s">
        <v>2704</v>
      </c>
      <c r="G47" s="146" t="s">
        <v>2705</v>
      </c>
      <c r="H47" s="146" t="s">
        <v>1986</v>
      </c>
      <c r="I47" s="146"/>
      <c r="J47" s="146"/>
      <c r="K47" s="150" t="s">
        <v>225</v>
      </c>
      <c r="L47" s="145" t="s">
        <v>2633</v>
      </c>
      <c r="M47" s="148" t="n">
        <v>46295.0</v>
      </c>
      <c r="N47" s="149" t="s">
        <v>2706</v>
      </c>
    </row>
    <row r="48" ht="90.0" customHeight="true">
      <c r="A48" s="145" t="s">
        <v>2707</v>
      </c>
      <c r="B48" s="146" t="s">
        <v>2708</v>
      </c>
      <c r="C48" s="146" t="s">
        <v>2709</v>
      </c>
      <c r="D48" s="146" t="s">
        <v>2695</v>
      </c>
      <c r="E48" s="146" t="s">
        <v>2710</v>
      </c>
      <c r="F48" s="146" t="s">
        <v>2711</v>
      </c>
      <c r="G48" s="146" t="s">
        <v>2712</v>
      </c>
      <c r="H48" s="146" t="s">
        <v>2649</v>
      </c>
      <c r="I48" s="146"/>
      <c r="J48" s="146"/>
      <c r="K48" s="150" t="s">
        <v>225</v>
      </c>
      <c r="L48" s="145" t="s">
        <v>2633</v>
      </c>
      <c r="M48" s="148" t="n">
        <v>46295.0</v>
      </c>
      <c r="N48" s="149" t="s">
        <v>314</v>
      </c>
    </row>
    <row r="49" ht="90.0" customHeight="true">
      <c r="A49" s="145" t="s">
        <v>2713</v>
      </c>
      <c r="B49" s="146" t="s">
        <v>2714</v>
      </c>
      <c r="C49" s="146" t="s">
        <v>2715</v>
      </c>
      <c r="D49" s="146" t="s">
        <v>1975</v>
      </c>
      <c r="E49" s="146" t="s">
        <v>2716</v>
      </c>
      <c r="F49" s="146" t="s">
        <v>2717</v>
      </c>
      <c r="G49" s="146" t="s">
        <v>2718</v>
      </c>
      <c r="H49" s="146" t="s">
        <v>1986</v>
      </c>
      <c r="I49" s="146"/>
      <c r="J49" s="146"/>
      <c r="K49" s="150" t="s">
        <v>225</v>
      </c>
      <c r="L49" s="145" t="s">
        <v>2633</v>
      </c>
      <c r="M49" s="148" t="n">
        <v>46295.0</v>
      </c>
      <c r="N49" s="149" t="s">
        <v>276</v>
      </c>
    </row>
    <row r="50" ht="90.0" customHeight="true">
      <c r="A50" s="145" t="s">
        <v>2719</v>
      </c>
      <c r="B50" s="146" t="s">
        <v>2720</v>
      </c>
      <c r="C50" s="146" t="s">
        <v>2721</v>
      </c>
      <c r="D50" s="146" t="s">
        <v>1975</v>
      </c>
      <c r="E50" s="146" t="s">
        <v>2722</v>
      </c>
      <c r="F50" s="146" t="s">
        <v>2723</v>
      </c>
      <c r="G50" s="146" t="s">
        <v>2724</v>
      </c>
      <c r="H50" s="146" t="s">
        <v>1986</v>
      </c>
      <c r="I50" s="146"/>
      <c r="J50" s="146"/>
      <c r="K50" s="150" t="s">
        <v>225</v>
      </c>
      <c r="L50" s="145" t="s">
        <v>2633</v>
      </c>
      <c r="M50" s="148" t="n">
        <v>46295.0</v>
      </c>
      <c r="N50" s="149" t="s">
        <v>2706</v>
      </c>
    </row>
    <row r="51" ht="90.0" customHeight="true">
      <c r="A51" s="145" t="s">
        <v>2725</v>
      </c>
      <c r="B51" s="146" t="s">
        <v>2726</v>
      </c>
      <c r="C51" s="146" t="s">
        <v>2952</v>
      </c>
      <c r="D51" s="146" t="s">
        <v>1975</v>
      </c>
      <c r="E51" s="146" t="s">
        <v>2728</v>
      </c>
      <c r="F51" s="146" t="s">
        <v>2729</v>
      </c>
      <c r="G51" s="146" t="s">
        <v>2953</v>
      </c>
      <c r="H51" s="146" t="s">
        <v>2731</v>
      </c>
      <c r="I51" s="146"/>
      <c r="J51" s="146"/>
      <c r="K51" s="150" t="s">
        <v>225</v>
      </c>
      <c r="L51" s="145" t="s">
        <v>2633</v>
      </c>
      <c r="M51" s="148" t="n">
        <v>46296.0</v>
      </c>
      <c r="N51" s="149" t="s">
        <v>2732</v>
      </c>
    </row>
    <row r="52" ht="90.0" customHeight="true">
      <c r="A52" s="145" t="s">
        <v>2733</v>
      </c>
      <c r="B52" s="146" t="s">
        <v>2734</v>
      </c>
      <c r="C52" s="146" t="s">
        <v>2735</v>
      </c>
      <c r="D52" s="146" t="s">
        <v>1975</v>
      </c>
      <c r="E52" s="146" t="s">
        <v>2736</v>
      </c>
      <c r="F52" s="146" t="s">
        <v>2737</v>
      </c>
      <c r="G52" s="146" t="s">
        <v>2738</v>
      </c>
      <c r="H52" s="146" t="s">
        <v>2731</v>
      </c>
      <c r="I52" s="146"/>
      <c r="J52" s="146"/>
      <c r="K52" s="150" t="s">
        <v>227</v>
      </c>
      <c r="L52" s="145" t="s">
        <v>2633</v>
      </c>
      <c r="M52" s="148" t="n">
        <v>46295.0</v>
      </c>
      <c r="N52" s="149" t="s">
        <v>276</v>
      </c>
    </row>
    <row r="53" ht="90.0" customHeight="true">
      <c r="A53" s="145" t="s">
        <v>2739</v>
      </c>
      <c r="B53" s="146" t="s">
        <v>2740</v>
      </c>
      <c r="C53" s="146" t="s">
        <v>2741</v>
      </c>
      <c r="D53" s="146" t="s">
        <v>1975</v>
      </c>
      <c r="E53" s="146" t="s">
        <v>2742</v>
      </c>
      <c r="F53" s="146" t="s">
        <v>2743</v>
      </c>
      <c r="G53" s="146" t="s">
        <v>2744</v>
      </c>
      <c r="H53" s="146" t="s">
        <v>1986</v>
      </c>
      <c r="I53" s="146"/>
      <c r="J53" s="146"/>
      <c r="K53" s="150" t="s">
        <v>227</v>
      </c>
      <c r="L53" s="145" t="s">
        <v>2633</v>
      </c>
      <c r="M53" s="148" t="n">
        <v>46295.0</v>
      </c>
      <c r="N53" s="149" t="s">
        <v>2706</v>
      </c>
    </row>
    <row r="54" ht="90.0" customHeight="true">
      <c r="A54" s="145" t="s">
        <v>2745</v>
      </c>
      <c r="B54" s="146" t="s">
        <v>2746</v>
      </c>
      <c r="C54" s="146" t="s">
        <v>2747</v>
      </c>
      <c r="D54" s="146" t="s">
        <v>1975</v>
      </c>
      <c r="E54" s="146" t="s">
        <v>2748</v>
      </c>
      <c r="F54" s="146" t="s">
        <v>2749</v>
      </c>
      <c r="G54" s="146" t="s">
        <v>2750</v>
      </c>
      <c r="H54" s="146" t="s">
        <v>2751</v>
      </c>
      <c r="I54" s="146"/>
      <c r="J54" s="146"/>
      <c r="K54" s="150" t="s">
        <v>227</v>
      </c>
      <c r="L54" s="145" t="s">
        <v>2633</v>
      </c>
      <c r="M54" s="148" t="n">
        <v>46295.0</v>
      </c>
      <c r="N54" s="149" t="s">
        <v>276</v>
      </c>
    </row>
    <row r="55" ht="90.0" customHeight="true">
      <c r="A55" s="145" t="s">
        <v>2752</v>
      </c>
      <c r="B55" s="146" t="s">
        <v>2753</v>
      </c>
      <c r="C55" s="146" t="s">
        <v>2754</v>
      </c>
      <c r="D55" s="146" t="s">
        <v>2755</v>
      </c>
      <c r="E55" s="146" t="s">
        <v>2756</v>
      </c>
      <c r="F55" s="146" t="s">
        <v>2757</v>
      </c>
      <c r="G55" s="146" t="s">
        <v>2758</v>
      </c>
      <c r="H55" s="146" t="s">
        <v>2759</v>
      </c>
      <c r="I55" s="146"/>
      <c r="J55" s="146"/>
      <c r="K55" s="150" t="s">
        <v>229</v>
      </c>
      <c r="L55" s="145" t="s">
        <v>2633</v>
      </c>
      <c r="M55" s="148" t="n">
        <v>46295.0</v>
      </c>
      <c r="N55" s="149" t="s">
        <v>276</v>
      </c>
    </row>
    <row r="56" ht="90.0" customHeight="true">
      <c r="A56" s="145" t="s">
        <v>2760</v>
      </c>
      <c r="B56" s="146" t="s">
        <v>2761</v>
      </c>
      <c r="C56" s="146" t="s">
        <v>2762</v>
      </c>
      <c r="D56" s="146" t="s">
        <v>2695</v>
      </c>
      <c r="E56" s="146" t="s">
        <v>2763</v>
      </c>
      <c r="F56" s="146" t="s">
        <v>2764</v>
      </c>
      <c r="G56" s="146" t="s">
        <v>2765</v>
      </c>
      <c r="H56" s="146" t="s">
        <v>2766</v>
      </c>
      <c r="I56" s="146"/>
      <c r="J56" s="146"/>
      <c r="K56" s="150" t="s">
        <v>225</v>
      </c>
      <c r="L56" s="145" t="s">
        <v>2633</v>
      </c>
      <c r="M56" s="148" t="n">
        <v>46295.0</v>
      </c>
      <c r="N56" s="149" t="s">
        <v>276</v>
      </c>
    </row>
    <row r="57" ht="21.75" customHeight="true">
      <c r="A57" s="144" t="s">
        <v>2149</v>
      </c>
      <c r="B57" s="144"/>
      <c r="C57" s="144"/>
      <c r="D57" s="144"/>
      <c r="E57" s="144"/>
      <c r="F57" s="144"/>
      <c r="G57" s="144"/>
      <c r="H57" s="144"/>
      <c r="I57" s="144"/>
      <c r="J57" s="144"/>
      <c r="K57" s="144"/>
      <c r="L57" s="144"/>
      <c r="M57" s="144"/>
      <c r="N57" s="144"/>
    </row>
    <row r="58" ht="90.0" customHeight="true">
      <c r="A58" s="145" t="s">
        <v>2150</v>
      </c>
      <c r="B58" s="146" t="s">
        <v>2151</v>
      </c>
      <c r="C58" s="146" t="s">
        <v>2152</v>
      </c>
      <c r="D58" s="146" t="s">
        <v>2153</v>
      </c>
      <c r="E58" s="146" t="s">
        <v>2154</v>
      </c>
      <c r="F58" s="146" t="s">
        <v>2155</v>
      </c>
      <c r="G58" s="146" t="s">
        <v>2156</v>
      </c>
      <c r="H58" s="146" t="s">
        <v>2157</v>
      </c>
      <c r="I58" s="146"/>
      <c r="J58" s="146"/>
      <c r="K58" s="147" t="s">
        <v>225</v>
      </c>
      <c r="L58" s="145" t="s">
        <v>1341</v>
      </c>
      <c r="M58" s="148" t="s">
        <v>1913</v>
      </c>
      <c r="N58" s="149" t="s">
        <v>276</v>
      </c>
    </row>
    <row r="59" ht="90.0" customHeight="true">
      <c r="A59" s="145" t="s">
        <v>2158</v>
      </c>
      <c r="B59" s="146" t="s">
        <v>2159</v>
      </c>
      <c r="C59" s="146" t="s">
        <v>2160</v>
      </c>
      <c r="D59" s="146" t="s">
        <v>2161</v>
      </c>
      <c r="E59" s="146" t="s">
        <v>2162</v>
      </c>
      <c r="F59" s="146" t="s">
        <v>2163</v>
      </c>
      <c r="G59" s="146" t="s">
        <v>2164</v>
      </c>
      <c r="H59" s="146" t="s">
        <v>2165</v>
      </c>
      <c r="I59" s="146"/>
      <c r="J59" s="146"/>
      <c r="K59" s="147" t="s">
        <v>225</v>
      </c>
      <c r="L59" s="145" t="s">
        <v>1341</v>
      </c>
      <c r="M59" s="148" t="s">
        <v>1913</v>
      </c>
      <c r="N59" s="149" t="s">
        <v>276</v>
      </c>
    </row>
    <row r="60" ht="90.0" customHeight="true">
      <c r="A60" s="145" t="s">
        <v>2166</v>
      </c>
      <c r="B60" s="146" t="s">
        <v>2167</v>
      </c>
      <c r="C60" s="146" t="s">
        <v>2168</v>
      </c>
      <c r="D60" s="146" t="s">
        <v>2161</v>
      </c>
      <c r="E60" s="146" t="s">
        <v>2169</v>
      </c>
      <c r="F60" s="146" t="s">
        <v>2170</v>
      </c>
      <c r="G60" s="146" t="s">
        <v>2171</v>
      </c>
      <c r="H60" s="146" t="s">
        <v>2172</v>
      </c>
      <c r="I60" s="146"/>
      <c r="J60" s="146"/>
      <c r="K60" s="150" t="s">
        <v>227</v>
      </c>
      <c r="L60" s="145" t="s">
        <v>1341</v>
      </c>
      <c r="M60" s="148" t="s">
        <v>1913</v>
      </c>
      <c r="N60" s="149" t="s">
        <v>276</v>
      </c>
    </row>
    <row r="61" ht="90.0" customHeight="true">
      <c r="A61" s="145" t="s">
        <v>2173</v>
      </c>
      <c r="B61" s="146" t="s">
        <v>2174</v>
      </c>
      <c r="C61" s="146" t="s">
        <v>2175</v>
      </c>
      <c r="D61" s="146" t="s">
        <v>2161</v>
      </c>
      <c r="E61" s="146" t="s">
        <v>2176</v>
      </c>
      <c r="F61" s="146" t="s">
        <v>2177</v>
      </c>
      <c r="G61" s="146" t="s">
        <v>2178</v>
      </c>
      <c r="H61" s="146" t="s">
        <v>2179</v>
      </c>
      <c r="I61" s="146"/>
      <c r="J61" s="146"/>
      <c r="K61" s="147" t="s">
        <v>225</v>
      </c>
      <c r="L61" s="145" t="s">
        <v>2130</v>
      </c>
      <c r="M61" s="148" t="s">
        <v>1929</v>
      </c>
      <c r="N61" s="149" t="s">
        <v>276</v>
      </c>
    </row>
    <row r="62" ht="90.0" customHeight="true">
      <c r="A62" s="145" t="s">
        <v>2180</v>
      </c>
      <c r="B62" s="146" t="s">
        <v>2181</v>
      </c>
      <c r="C62" s="146" t="s">
        <v>2182</v>
      </c>
      <c r="D62" s="146" t="s">
        <v>2183</v>
      </c>
      <c r="E62" s="146" t="s">
        <v>2184</v>
      </c>
      <c r="F62" s="146" t="s">
        <v>2185</v>
      </c>
      <c r="G62" s="146" t="s">
        <v>2186</v>
      </c>
      <c r="H62" s="146" t="s">
        <v>2187</v>
      </c>
      <c r="I62" s="146"/>
      <c r="J62" s="146"/>
      <c r="K62" s="147" t="s">
        <v>225</v>
      </c>
      <c r="L62" s="145" t="s">
        <v>2130</v>
      </c>
      <c r="M62" s="148" t="s">
        <v>1929</v>
      </c>
      <c r="N62" s="149" t="s">
        <v>345</v>
      </c>
    </row>
    <row r="63" ht="90.0" customHeight="true">
      <c r="A63" s="145" t="s">
        <v>2188</v>
      </c>
      <c r="B63" s="146" t="s">
        <v>2189</v>
      </c>
      <c r="C63" s="146" t="s">
        <v>1523</v>
      </c>
      <c r="D63" s="146" t="s">
        <v>2161</v>
      </c>
      <c r="E63" s="146" t="s">
        <v>2190</v>
      </c>
      <c r="F63" s="146" t="s">
        <v>1525</v>
      </c>
      <c r="G63" s="146" t="s">
        <v>2191</v>
      </c>
      <c r="H63" s="146" t="s">
        <v>2192</v>
      </c>
      <c r="I63" s="146"/>
      <c r="J63" s="146"/>
      <c r="K63" s="150" t="s">
        <v>227</v>
      </c>
      <c r="L63" s="145" t="s">
        <v>1341</v>
      </c>
      <c r="M63" s="148" t="s">
        <v>1913</v>
      </c>
      <c r="N63" s="149" t="s">
        <v>276</v>
      </c>
    </row>
    <row r="64" ht="90.0" customHeight="true">
      <c r="A64" s="145" t="s">
        <v>2783</v>
      </c>
      <c r="B64" s="146" t="s">
        <v>2784</v>
      </c>
      <c r="C64" s="146" t="s">
        <v>2785</v>
      </c>
      <c r="D64" s="146" t="s">
        <v>2786</v>
      </c>
      <c r="E64" s="146" t="s">
        <v>2787</v>
      </c>
      <c r="F64" s="146" t="s">
        <v>2788</v>
      </c>
      <c r="G64" s="146" t="s">
        <v>2789</v>
      </c>
      <c r="H64" s="146" t="s">
        <v>2790</v>
      </c>
      <c r="I64" s="146"/>
      <c r="J64" s="146"/>
      <c r="K64" s="150" t="s">
        <v>225</v>
      </c>
      <c r="L64" s="145" t="s">
        <v>2633</v>
      </c>
      <c r="M64" s="148" t="n">
        <v>46295.0</v>
      </c>
      <c r="N64" s="149" t="s">
        <v>2706</v>
      </c>
    </row>
    <row r="65" ht="90.0" customHeight="true">
      <c r="A65" s="145" t="s">
        <v>2791</v>
      </c>
      <c r="B65" s="146" t="s">
        <v>2792</v>
      </c>
      <c r="C65" s="146" t="s">
        <v>2793</v>
      </c>
      <c r="D65" s="146" t="s">
        <v>2786</v>
      </c>
      <c r="E65" s="146" t="s">
        <v>2794</v>
      </c>
      <c r="F65" s="146" t="s">
        <v>2795</v>
      </c>
      <c r="G65" s="146" t="s">
        <v>2796</v>
      </c>
      <c r="H65" s="146" t="s">
        <v>2797</v>
      </c>
      <c r="I65" s="146"/>
      <c r="J65" s="146"/>
      <c r="K65" s="150" t="s">
        <v>227</v>
      </c>
      <c r="L65" s="145" t="s">
        <v>2633</v>
      </c>
      <c r="M65" s="148" t="n">
        <v>46295.0</v>
      </c>
      <c r="N65" s="149" t="s">
        <v>276</v>
      </c>
    </row>
    <row r="66" ht="90.0" customHeight="true">
      <c r="A66" s="145" t="s">
        <v>2798</v>
      </c>
      <c r="B66" s="146" t="s">
        <v>2799</v>
      </c>
      <c r="C66" s="146" t="s">
        <v>2800</v>
      </c>
      <c r="D66" s="146" t="s">
        <v>2801</v>
      </c>
      <c r="E66" s="146" t="s">
        <v>2802</v>
      </c>
      <c r="F66" s="146" t="s">
        <v>2803</v>
      </c>
      <c r="G66" s="146" t="s">
        <v>2804</v>
      </c>
      <c r="H66" s="146" t="s">
        <v>2805</v>
      </c>
      <c r="I66" s="146"/>
      <c r="J66" s="146"/>
      <c r="K66" s="150" t="s">
        <v>227</v>
      </c>
      <c r="L66" s="145" t="s">
        <v>2633</v>
      </c>
      <c r="M66" s="148" t="n">
        <v>46295.0</v>
      </c>
      <c r="N66" s="149" t="s">
        <v>276</v>
      </c>
    </row>
    <row r="67" ht="90.0" customHeight="true">
      <c r="A67" s="145" t="s">
        <v>2806</v>
      </c>
      <c r="B67" s="146" t="s">
        <v>2807</v>
      </c>
      <c r="C67" s="146" t="s">
        <v>2808</v>
      </c>
      <c r="D67" s="146" t="s">
        <v>2809</v>
      </c>
      <c r="E67" s="146" t="s">
        <v>2810</v>
      </c>
      <c r="F67" s="146" t="s">
        <v>2811</v>
      </c>
      <c r="G67" s="146" t="s">
        <v>2812</v>
      </c>
      <c r="H67" s="146" t="s">
        <v>2813</v>
      </c>
      <c r="I67" s="146"/>
      <c r="J67" s="146"/>
      <c r="K67" s="150" t="s">
        <v>225</v>
      </c>
      <c r="L67" s="145" t="s">
        <v>2633</v>
      </c>
      <c r="M67" s="148" t="n">
        <v>46295.0</v>
      </c>
      <c r="N67" s="149" t="s">
        <v>345</v>
      </c>
    </row>
    <row r="68" ht="90.0" customHeight="true">
      <c r="A68" s="145" t="s">
        <v>2814</v>
      </c>
      <c r="B68" s="146" t="s">
        <v>2815</v>
      </c>
      <c r="C68" s="146" t="s">
        <v>2816</v>
      </c>
      <c r="D68" s="146" t="s">
        <v>2817</v>
      </c>
      <c r="E68" s="146" t="s">
        <v>2818</v>
      </c>
      <c r="F68" s="146" t="s">
        <v>2819</v>
      </c>
      <c r="G68" s="146" t="s">
        <v>2820</v>
      </c>
      <c r="H68" s="146" t="s">
        <v>2821</v>
      </c>
      <c r="I68" s="146"/>
      <c r="J68" s="146"/>
      <c r="K68" s="150" t="s">
        <v>225</v>
      </c>
      <c r="L68" s="145" t="s">
        <v>2633</v>
      </c>
      <c r="M68" s="148" t="n">
        <v>46295.0</v>
      </c>
      <c r="N68" s="149" t="s">
        <v>276</v>
      </c>
    </row>
    <row r="69" ht="90.0" customHeight="true">
      <c r="A69" s="145" t="s">
        <v>2822</v>
      </c>
      <c r="B69" s="146" t="s">
        <v>2823</v>
      </c>
      <c r="C69" s="146" t="s">
        <v>2824</v>
      </c>
      <c r="D69" s="146" t="s">
        <v>2825</v>
      </c>
      <c r="E69" s="146" t="s">
        <v>2826</v>
      </c>
      <c r="F69" s="146" t="s">
        <v>2827</v>
      </c>
      <c r="G69" s="146" t="s">
        <v>2828</v>
      </c>
      <c r="H69" s="146" t="s">
        <v>2829</v>
      </c>
      <c r="I69" s="146"/>
      <c r="J69" s="146"/>
      <c r="K69" s="150" t="s">
        <v>227</v>
      </c>
      <c r="L69" s="145" t="s">
        <v>2633</v>
      </c>
      <c r="M69" s="148" t="n">
        <v>46295.0</v>
      </c>
      <c r="N69" s="149" t="s">
        <v>276</v>
      </c>
    </row>
    <row r="70" ht="90.0" customHeight="true">
      <c r="A70" s="145" t="s">
        <v>2830</v>
      </c>
      <c r="B70" s="146" t="s">
        <v>2831</v>
      </c>
      <c r="C70" s="146" t="s">
        <v>2832</v>
      </c>
      <c r="D70" s="146" t="s">
        <v>2833</v>
      </c>
      <c r="E70" s="146" t="s">
        <v>2834</v>
      </c>
      <c r="F70" s="146" t="s">
        <v>2835</v>
      </c>
      <c r="G70" s="146" t="s">
        <v>2836</v>
      </c>
      <c r="H70" s="146" t="s">
        <v>2837</v>
      </c>
      <c r="I70" s="146"/>
      <c r="J70" s="146"/>
      <c r="K70" s="150" t="s">
        <v>229</v>
      </c>
      <c r="L70" s="145" t="s">
        <v>2633</v>
      </c>
      <c r="M70" s="148" t="n">
        <v>46295.0</v>
      </c>
      <c r="N70" s="149" t="s">
        <v>276</v>
      </c>
    </row>
    <row r="71" ht="21.75" customHeight="true">
      <c r="A71" s="144" t="s">
        <v>2193</v>
      </c>
      <c r="B71" s="144"/>
      <c r="C71" s="144"/>
      <c r="D71" s="144"/>
      <c r="E71" s="144"/>
      <c r="F71" s="144"/>
      <c r="G71" s="144"/>
      <c r="H71" s="144"/>
      <c r="I71" s="144"/>
      <c r="J71" s="144"/>
      <c r="K71" s="144"/>
      <c r="L71" s="144"/>
      <c r="M71" s="144"/>
      <c r="N71" s="144"/>
    </row>
    <row r="72" ht="90.0" customHeight="true">
      <c r="A72" s="145" t="s">
        <v>2194</v>
      </c>
      <c r="B72" s="146" t="s">
        <v>2195</v>
      </c>
      <c r="C72" s="146" t="s">
        <v>2196</v>
      </c>
      <c r="D72" s="146" t="s">
        <v>1933</v>
      </c>
      <c r="E72" s="146" t="s">
        <v>2197</v>
      </c>
      <c r="F72" s="146" t="s">
        <v>2198</v>
      </c>
      <c r="G72" s="146" t="s">
        <v>2199</v>
      </c>
      <c r="H72" s="146" t="s">
        <v>2200</v>
      </c>
      <c r="I72" s="146"/>
      <c r="J72" s="146"/>
      <c r="K72" s="147" t="s">
        <v>225</v>
      </c>
      <c r="L72" s="145" t="s">
        <v>2130</v>
      </c>
      <c r="M72" s="148" t="s">
        <v>1929</v>
      </c>
      <c r="N72" s="149" t="s">
        <v>276</v>
      </c>
    </row>
    <row r="73" ht="90.0" customHeight="true">
      <c r="A73" s="145" t="s">
        <v>2201</v>
      </c>
      <c r="B73" s="146" t="s">
        <v>2202</v>
      </c>
      <c r="C73" s="146" t="s">
        <v>2203</v>
      </c>
      <c r="D73" s="146" t="s">
        <v>1933</v>
      </c>
      <c r="E73" s="146" t="s">
        <v>2204</v>
      </c>
      <c r="F73" s="146" t="s">
        <v>2198</v>
      </c>
      <c r="G73" s="146" t="s">
        <v>2205</v>
      </c>
      <c r="H73" s="146" t="s">
        <v>2206</v>
      </c>
      <c r="I73" s="146"/>
      <c r="J73" s="146"/>
      <c r="K73" s="147" t="s">
        <v>225</v>
      </c>
      <c r="L73" s="145" t="s">
        <v>1341</v>
      </c>
      <c r="M73" s="148" t="s">
        <v>1913</v>
      </c>
      <c r="N73" s="149" t="s">
        <v>276</v>
      </c>
    </row>
    <row r="74" ht="90.0" customHeight="true">
      <c r="A74" s="145" t="s">
        <v>2207</v>
      </c>
      <c r="B74" s="146" t="s">
        <v>2208</v>
      </c>
      <c r="C74" s="146" t="s">
        <v>2209</v>
      </c>
      <c r="D74" s="146" t="s">
        <v>1933</v>
      </c>
      <c r="E74" s="146" t="s">
        <v>2210</v>
      </c>
      <c r="F74" s="146" t="s">
        <v>2198</v>
      </c>
      <c r="G74" s="146" t="s">
        <v>2211</v>
      </c>
      <c r="H74" s="146" t="s">
        <v>2212</v>
      </c>
      <c r="I74" s="146"/>
      <c r="J74" s="146"/>
      <c r="K74" s="150" t="s">
        <v>227</v>
      </c>
      <c r="L74" s="145" t="s">
        <v>1341</v>
      </c>
      <c r="M74" s="148" t="s">
        <v>1913</v>
      </c>
      <c r="N74" s="149" t="s">
        <v>276</v>
      </c>
    </row>
    <row r="75" ht="90.0" customHeight="true">
      <c r="A75" s="145" t="s">
        <v>2213</v>
      </c>
      <c r="B75" s="146" t="s">
        <v>2214</v>
      </c>
      <c r="C75" s="146" t="s">
        <v>2215</v>
      </c>
      <c r="D75" s="146" t="s">
        <v>2216</v>
      </c>
      <c r="E75" s="146" t="s">
        <v>2217</v>
      </c>
      <c r="F75" s="146" t="s">
        <v>2218</v>
      </c>
      <c r="G75" s="146" t="s">
        <v>2219</v>
      </c>
      <c r="H75" s="146" t="s">
        <v>2220</v>
      </c>
      <c r="I75" s="146"/>
      <c r="J75" s="146"/>
      <c r="K75" s="147" t="s">
        <v>225</v>
      </c>
      <c r="L75" s="145" t="s">
        <v>1341</v>
      </c>
      <c r="M75" s="148" t="s">
        <v>1913</v>
      </c>
      <c r="N75" s="149" t="s">
        <v>345</v>
      </c>
    </row>
    <row r="76" ht="90.0" customHeight="true">
      <c r="A76" s="145" t="s">
        <v>2767</v>
      </c>
      <c r="B76" s="146" t="s">
        <v>2768</v>
      </c>
      <c r="C76" s="146" t="s">
        <v>2769</v>
      </c>
      <c r="D76" s="146" t="s">
        <v>2770</v>
      </c>
      <c r="E76" s="146" t="s">
        <v>2771</v>
      </c>
      <c r="F76" s="146" t="s">
        <v>2772</v>
      </c>
      <c r="G76" s="146" t="s">
        <v>2773</v>
      </c>
      <c r="H76" s="146" t="s">
        <v>2774</v>
      </c>
      <c r="I76" s="146"/>
      <c r="J76" s="146"/>
      <c r="K76" s="147" t="s">
        <v>225</v>
      </c>
      <c r="L76" s="145" t="s">
        <v>2633</v>
      </c>
      <c r="M76" s="148" t="n">
        <v>46295.0</v>
      </c>
      <c r="N76" s="149" t="s">
        <v>345</v>
      </c>
    </row>
    <row r="77" ht="90.0" customHeight="true">
      <c r="A77" s="145" t="s">
        <v>2775</v>
      </c>
      <c r="B77" s="146" t="s">
        <v>2776</v>
      </c>
      <c r="C77" s="146" t="s">
        <v>2777</v>
      </c>
      <c r="D77" s="146" t="s">
        <v>2778</v>
      </c>
      <c r="E77" s="146" t="s">
        <v>2779</v>
      </c>
      <c r="F77" s="146" t="s">
        <v>2780</v>
      </c>
      <c r="G77" s="146" t="s">
        <v>2781</v>
      </c>
      <c r="H77" s="146" t="s">
        <v>2782</v>
      </c>
      <c r="I77" s="146"/>
      <c r="J77" s="146"/>
      <c r="K77" s="147" t="s">
        <v>227</v>
      </c>
      <c r="L77" s="145" t="s">
        <v>2633</v>
      </c>
      <c r="M77" s="148" t="n">
        <v>46295.0</v>
      </c>
      <c r="N77" s="149" t="s">
        <v>345</v>
      </c>
    </row>
    <row r="78" ht="21.75" customHeight="true">
      <c r="A78" s="144" t="s">
        <v>2221</v>
      </c>
      <c r="B78" s="144"/>
      <c r="C78" s="144"/>
      <c r="D78" s="144"/>
      <c r="E78" s="144"/>
      <c r="F78" s="144"/>
      <c r="G78" s="144"/>
      <c r="H78" s="144"/>
      <c r="I78" s="144"/>
      <c r="J78" s="144"/>
      <c r="K78" s="144"/>
      <c r="L78" s="144"/>
      <c r="M78" s="144"/>
      <c r="N78" s="144"/>
    </row>
    <row r="79" ht="90.0" customHeight="true">
      <c r="A79" s="145" t="s">
        <v>2222</v>
      </c>
      <c r="B79" s="146" t="s">
        <v>2223</v>
      </c>
      <c r="C79" s="146" t="s">
        <v>2224</v>
      </c>
      <c r="D79" s="146" t="s">
        <v>1933</v>
      </c>
      <c r="E79" s="146" t="s">
        <v>2225</v>
      </c>
      <c r="F79" s="146" t="s">
        <v>2226</v>
      </c>
      <c r="G79" s="146" t="s">
        <v>2227</v>
      </c>
      <c r="H79" s="146" t="s">
        <v>2228</v>
      </c>
      <c r="I79" s="146"/>
      <c r="J79" s="146"/>
      <c r="K79" s="150" t="s">
        <v>227</v>
      </c>
      <c r="L79" s="145" t="s">
        <v>2130</v>
      </c>
      <c r="M79" s="148" t="s">
        <v>1929</v>
      </c>
      <c r="N79" s="149" t="s">
        <v>314</v>
      </c>
    </row>
    <row r="80" ht="90.0" customHeight="true">
      <c r="A80" s="145" t="s">
        <v>2229</v>
      </c>
      <c r="B80" s="146" t="s">
        <v>2230</v>
      </c>
      <c r="C80" s="146" t="s">
        <v>2231</v>
      </c>
      <c r="D80" s="146" t="s">
        <v>1933</v>
      </c>
      <c r="E80" s="146" t="s">
        <v>2232</v>
      </c>
      <c r="F80" s="146" t="s">
        <v>2233</v>
      </c>
      <c r="G80" s="146" t="s">
        <v>2234</v>
      </c>
      <c r="H80" s="146" t="s">
        <v>2235</v>
      </c>
      <c r="I80" s="146"/>
      <c r="J80" s="146"/>
      <c r="K80" s="150" t="s">
        <v>227</v>
      </c>
      <c r="L80" s="145" t="s">
        <v>2130</v>
      </c>
      <c r="M80" s="148" t="s">
        <v>1929</v>
      </c>
      <c r="N80" s="149" t="s">
        <v>276</v>
      </c>
    </row>
    <row r="81" ht="90.0" customHeight="true">
      <c r="A81" s="145" t="s">
        <v>2236</v>
      </c>
      <c r="B81" s="146" t="s">
        <v>2237</v>
      </c>
      <c r="C81" s="146" t="s">
        <v>2238</v>
      </c>
      <c r="D81" s="146" t="s">
        <v>1933</v>
      </c>
      <c r="E81" s="146" t="s">
        <v>2239</v>
      </c>
      <c r="F81" s="146" t="s">
        <v>2240</v>
      </c>
      <c r="G81" s="146" t="s">
        <v>2241</v>
      </c>
      <c r="H81" s="146" t="s">
        <v>2242</v>
      </c>
      <c r="I81" s="146"/>
      <c r="J81" s="146"/>
      <c r="K81" s="150" t="s">
        <v>227</v>
      </c>
      <c r="L81" s="145" t="s">
        <v>2130</v>
      </c>
      <c r="M81" s="148" t="s">
        <v>1929</v>
      </c>
      <c r="N81" s="149" t="s">
        <v>276</v>
      </c>
    </row>
    <row r="82" ht="90.0" customHeight="true">
      <c r="A82" s="145" t="s">
        <v>2625</v>
      </c>
      <c r="B82" s="146" t="s">
        <v>2626</v>
      </c>
      <c r="C82" s="146" t="s">
        <v>2627</v>
      </c>
      <c r="D82" s="146" t="s">
        <v>2628</v>
      </c>
      <c r="E82" s="146" t="s">
        <v>2629</v>
      </c>
      <c r="F82" s="146" t="s">
        <v>2630</v>
      </c>
      <c r="G82" s="146" t="s">
        <v>2631</v>
      </c>
      <c r="H82" s="146" t="s">
        <v>2632</v>
      </c>
      <c r="I82" s="146"/>
      <c r="J82" s="146"/>
      <c r="K82" s="150" t="s">
        <v>225</v>
      </c>
      <c r="L82" s="145" t="s">
        <v>2633</v>
      </c>
      <c r="M82" s="148" t="n">
        <v>46295.0</v>
      </c>
      <c r="N82" s="149" t="s">
        <v>276</v>
      </c>
    </row>
    <row r="83" ht="90.0" customHeight="true">
      <c r="A83" s="145" t="s">
        <v>2634</v>
      </c>
      <c r="B83" s="146" t="s">
        <v>2635</v>
      </c>
      <c r="C83" s="146" t="s">
        <v>2636</v>
      </c>
      <c r="D83" s="146" t="s">
        <v>2637</v>
      </c>
      <c r="E83" s="146" t="s">
        <v>2638</v>
      </c>
      <c r="F83" s="146" t="s">
        <v>2639</v>
      </c>
      <c r="G83" s="146" t="s">
        <v>2640</v>
      </c>
      <c r="H83" s="146" t="s">
        <v>2641</v>
      </c>
      <c r="I83" s="146"/>
      <c r="J83" s="146"/>
      <c r="K83" s="150" t="s">
        <v>227</v>
      </c>
      <c r="L83" s="145" t="s">
        <v>2633</v>
      </c>
      <c r="M83" s="148" t="n">
        <v>46295.0</v>
      </c>
      <c r="N83" s="149" t="s">
        <v>276</v>
      </c>
    </row>
    <row r="84" ht="21.75" customHeight="true">
      <c r="A84" s="144" t="s">
        <v>2243</v>
      </c>
      <c r="B84" s="144"/>
      <c r="C84" s="144"/>
      <c r="D84" s="144"/>
      <c r="E84" s="144"/>
      <c r="F84" s="144"/>
      <c r="G84" s="144"/>
      <c r="H84" s="144"/>
      <c r="I84" s="144"/>
      <c r="J84" s="144"/>
      <c r="K84" s="144"/>
      <c r="L84" s="144"/>
      <c r="M84" s="144"/>
      <c r="N84" s="144"/>
    </row>
    <row r="85" ht="90.0" customHeight="true">
      <c r="A85" s="145" t="s">
        <v>2244</v>
      </c>
      <c r="B85" s="146" t="s">
        <v>2245</v>
      </c>
      <c r="C85" s="146" t="s">
        <v>2246</v>
      </c>
      <c r="D85" s="146" t="s">
        <v>2247</v>
      </c>
      <c r="E85" s="146" t="s">
        <v>2248</v>
      </c>
      <c r="F85" s="146" t="s">
        <v>2249</v>
      </c>
      <c r="G85" s="146" t="s">
        <v>948</v>
      </c>
      <c r="H85" s="146" t="s">
        <v>590</v>
      </c>
      <c r="I85" s="146"/>
      <c r="J85" s="146"/>
      <c r="K85" s="151" t="s">
        <v>229</v>
      </c>
      <c r="L85" s="145" t="s">
        <v>1341</v>
      </c>
      <c r="M85" s="148" t="s">
        <v>1913</v>
      </c>
      <c r="N85" s="149" t="s">
        <v>345</v>
      </c>
    </row>
    <row r="86" ht="90.0" customHeight="true">
      <c r="A86" s="145" t="s">
        <v>2250</v>
      </c>
      <c r="B86" s="146" t="s">
        <v>2251</v>
      </c>
      <c r="C86" s="146" t="s">
        <v>2252</v>
      </c>
      <c r="D86" s="146" t="s">
        <v>2253</v>
      </c>
      <c r="E86" s="146" t="s">
        <v>2254</v>
      </c>
      <c r="F86" s="146" t="s">
        <v>2255</v>
      </c>
      <c r="G86" s="146" t="s">
        <v>948</v>
      </c>
      <c r="H86" s="146" t="s">
        <v>590</v>
      </c>
      <c r="I86" s="146"/>
      <c r="J86" s="146"/>
      <c r="K86" s="151" t="s">
        <v>229</v>
      </c>
      <c r="L86" s="145" t="s">
        <v>1341</v>
      </c>
      <c r="M86" s="148" t="s">
        <v>1913</v>
      </c>
      <c r="N86" s="149" t="s">
        <v>345</v>
      </c>
    </row>
    <row r="87" ht="90.0" customHeight="true">
      <c r="A87" s="145" t="s">
        <v>2256</v>
      </c>
      <c r="B87" s="146" t="s">
        <v>2257</v>
      </c>
      <c r="C87" s="146" t="s">
        <v>2258</v>
      </c>
      <c r="D87" s="146" t="s">
        <v>1975</v>
      </c>
      <c r="E87" s="146" t="s">
        <v>2259</v>
      </c>
      <c r="F87" s="146" t="s">
        <v>2260</v>
      </c>
      <c r="G87" s="146" t="s">
        <v>2261</v>
      </c>
      <c r="H87" s="146" t="s">
        <v>2262</v>
      </c>
      <c r="I87" s="146"/>
      <c r="J87" s="146"/>
      <c r="K87" s="150" t="s">
        <v>227</v>
      </c>
      <c r="L87" s="145" t="s">
        <v>1341</v>
      </c>
      <c r="M87" s="148" t="s">
        <v>1913</v>
      </c>
      <c r="N87" s="149" t="s">
        <v>276</v>
      </c>
    </row>
    <row r="88" ht="90.0" customHeight="true">
      <c r="A88" s="145" t="s">
        <v>2263</v>
      </c>
      <c r="B88" s="146" t="s">
        <v>2264</v>
      </c>
      <c r="C88" s="146" t="s">
        <v>2265</v>
      </c>
      <c r="D88" s="146" t="s">
        <v>2266</v>
      </c>
      <c r="E88" s="146" t="s">
        <v>2267</v>
      </c>
      <c r="F88" s="146" t="s">
        <v>2268</v>
      </c>
      <c r="G88" s="146" t="s">
        <v>2269</v>
      </c>
      <c r="H88" s="146" t="s">
        <v>2270</v>
      </c>
      <c r="I88" s="146"/>
      <c r="J88" s="146"/>
      <c r="K88" s="150" t="s">
        <v>227</v>
      </c>
      <c r="L88" s="145" t="s">
        <v>1928</v>
      </c>
      <c r="M88" s="148" t="s">
        <v>1929</v>
      </c>
      <c r="N88" s="149" t="s">
        <v>276</v>
      </c>
    </row>
    <row r="89" ht="90.0" customHeight="true">
      <c r="A89" s="145" t="s">
        <v>2271</v>
      </c>
      <c r="B89" s="146" t="s">
        <v>2272</v>
      </c>
      <c r="C89" s="146" t="s">
        <v>2273</v>
      </c>
      <c r="D89" s="146" t="s">
        <v>1975</v>
      </c>
      <c r="E89" s="146" t="s">
        <v>2274</v>
      </c>
      <c r="F89" s="146" t="s">
        <v>2107</v>
      </c>
      <c r="G89" s="146" t="s">
        <v>2275</v>
      </c>
      <c r="H89" s="146" t="s">
        <v>2109</v>
      </c>
      <c r="I89" s="146"/>
      <c r="J89" s="146"/>
      <c r="K89" s="150" t="s">
        <v>227</v>
      </c>
      <c r="L89" s="145" t="s">
        <v>1341</v>
      </c>
      <c r="M89" s="148" t="s">
        <v>1913</v>
      </c>
      <c r="N89" s="149" t="s">
        <v>276</v>
      </c>
    </row>
    <row r="90" ht="90.0" customHeight="true">
      <c r="A90" s="145" t="s">
        <v>2276</v>
      </c>
      <c r="B90" s="146" t="s">
        <v>2277</v>
      </c>
      <c r="C90" s="146" t="s">
        <v>2278</v>
      </c>
      <c r="D90" s="146" t="s">
        <v>1975</v>
      </c>
      <c r="E90" s="146" t="s">
        <v>2279</v>
      </c>
      <c r="F90" s="146" t="s">
        <v>2280</v>
      </c>
      <c r="G90" s="146" t="s">
        <v>2281</v>
      </c>
      <c r="H90" s="146" t="s">
        <v>2109</v>
      </c>
      <c r="I90" s="146"/>
      <c r="J90" s="146"/>
      <c r="K90" s="150" t="s">
        <v>227</v>
      </c>
      <c r="L90" s="145" t="s">
        <v>1341</v>
      </c>
      <c r="M90" s="148" t="s">
        <v>1913</v>
      </c>
      <c r="N90" s="149" t="s">
        <v>276</v>
      </c>
    </row>
    <row r="91" ht="90.0" customHeight="true">
      <c r="A91" s="145" t="s">
        <v>2282</v>
      </c>
      <c r="B91" s="146" t="s">
        <v>2283</v>
      </c>
      <c r="C91" s="146" t="s">
        <v>2284</v>
      </c>
      <c r="D91" s="146" t="s">
        <v>2161</v>
      </c>
      <c r="E91" s="146" t="s">
        <v>2285</v>
      </c>
      <c r="F91" s="146" t="s">
        <v>2286</v>
      </c>
      <c r="G91" s="146" t="s">
        <v>2287</v>
      </c>
      <c r="H91" s="146" t="s">
        <v>2109</v>
      </c>
      <c r="I91" s="146"/>
      <c r="J91" s="146"/>
      <c r="K91" s="151" t="s">
        <v>229</v>
      </c>
      <c r="L91" s="145" t="s">
        <v>1341</v>
      </c>
      <c r="M91" s="148" t="s">
        <v>1913</v>
      </c>
      <c r="N91" s="149" t="s">
        <v>276</v>
      </c>
    </row>
    <row r="92" ht="90.0" customHeight="true">
      <c r="A92" s="145" t="s">
        <v>2288</v>
      </c>
      <c r="B92" s="146" t="s">
        <v>2289</v>
      </c>
      <c r="C92" s="146" t="s">
        <v>2290</v>
      </c>
      <c r="D92" s="146" t="s">
        <v>2291</v>
      </c>
      <c r="E92" s="146" t="s">
        <v>2292</v>
      </c>
      <c r="F92" s="146" t="s">
        <v>2293</v>
      </c>
      <c r="G92" s="146" t="s">
        <v>2294</v>
      </c>
      <c r="H92" s="146" t="s">
        <v>2109</v>
      </c>
      <c r="I92" s="146"/>
      <c r="J92" s="146"/>
      <c r="K92" s="151" t="s">
        <v>229</v>
      </c>
      <c r="L92" s="145" t="s">
        <v>1341</v>
      </c>
      <c r="M92" s="148" t="s">
        <v>1913</v>
      </c>
      <c r="N92" s="149" t="s">
        <v>276</v>
      </c>
    </row>
    <row r="93" ht="90.0" customHeight="true">
      <c r="A93" s="145" t="s">
        <v>2295</v>
      </c>
      <c r="B93" s="146" t="s">
        <v>2296</v>
      </c>
      <c r="C93" s="146" t="s">
        <v>2297</v>
      </c>
      <c r="D93" s="146" t="s">
        <v>1975</v>
      </c>
      <c r="E93" s="146" t="s">
        <v>2298</v>
      </c>
      <c r="F93" s="146" t="s">
        <v>2299</v>
      </c>
      <c r="G93" s="146" t="s">
        <v>2300</v>
      </c>
      <c r="H93" s="146" t="s">
        <v>2301</v>
      </c>
      <c r="I93" s="146"/>
      <c r="J93" s="146"/>
      <c r="K93" s="150" t="s">
        <v>227</v>
      </c>
      <c r="L93" s="145" t="s">
        <v>1928</v>
      </c>
      <c r="M93" s="148" t="s">
        <v>1929</v>
      </c>
      <c r="N93" s="149" t="s">
        <v>276</v>
      </c>
    </row>
    <row r="94" ht="90.0" customHeight="true">
      <c r="A94" s="145" t="s">
        <v>2302</v>
      </c>
      <c r="B94" s="146" t="s">
        <v>2303</v>
      </c>
      <c r="C94" s="146" t="s">
        <v>2304</v>
      </c>
      <c r="D94" s="146" t="s">
        <v>1975</v>
      </c>
      <c r="E94" s="146" t="s">
        <v>2305</v>
      </c>
      <c r="F94" s="146" t="s">
        <v>2306</v>
      </c>
      <c r="G94" s="146" t="s">
        <v>2307</v>
      </c>
      <c r="H94" s="146" t="s">
        <v>2308</v>
      </c>
      <c r="I94" s="146"/>
      <c r="J94" s="146"/>
      <c r="K94" s="150" t="s">
        <v>227</v>
      </c>
      <c r="L94" s="145" t="s">
        <v>1928</v>
      </c>
      <c r="M94" s="148" t="s">
        <v>1929</v>
      </c>
      <c r="N94" s="149" t="s">
        <v>276</v>
      </c>
    </row>
    <row r="95" ht="90.0" customHeight="true">
      <c r="A95" s="145" t="s">
        <v>2309</v>
      </c>
      <c r="B95" s="146" t="s">
        <v>2310</v>
      </c>
      <c r="C95" s="146" t="s">
        <v>2311</v>
      </c>
      <c r="D95" s="146" t="s">
        <v>1975</v>
      </c>
      <c r="E95" s="146" t="s">
        <v>2312</v>
      </c>
      <c r="F95" s="146" t="s">
        <v>2313</v>
      </c>
      <c r="G95" s="146" t="s">
        <v>2314</v>
      </c>
      <c r="H95" s="146" t="s">
        <v>2315</v>
      </c>
      <c r="I95" s="146"/>
      <c r="J95" s="146"/>
      <c r="K95" s="150" t="s">
        <v>227</v>
      </c>
      <c r="L95" s="145" t="s">
        <v>1928</v>
      </c>
      <c r="M95" s="148" t="s">
        <v>1929</v>
      </c>
      <c r="N95" s="149" t="s">
        <v>427</v>
      </c>
    </row>
    <row r="96" ht="90.0" customHeight="true">
      <c r="A96" s="145" t="s">
        <v>2838</v>
      </c>
      <c r="B96" s="146" t="s">
        <v>2839</v>
      </c>
      <c r="C96" s="146" t="s">
        <v>2840</v>
      </c>
      <c r="D96" s="146" t="s">
        <v>1975</v>
      </c>
      <c r="E96" s="146" t="s">
        <v>2841</v>
      </c>
      <c r="F96" s="146" t="s">
        <v>2842</v>
      </c>
      <c r="G96" s="146" t="s">
        <v>2843</v>
      </c>
      <c r="H96" s="146" t="s">
        <v>1986</v>
      </c>
      <c r="I96" s="146"/>
      <c r="J96" s="146"/>
      <c r="K96" s="150" t="s">
        <v>225</v>
      </c>
      <c r="L96" s="145" t="s">
        <v>2633</v>
      </c>
      <c r="M96" s="148" t="n">
        <v>46295.0</v>
      </c>
      <c r="N96" s="149" t="s">
        <v>2706</v>
      </c>
    </row>
    <row r="97" ht="21.75" customHeight="true">
      <c r="A97" s="144" t="s">
        <v>2316</v>
      </c>
      <c r="B97" s="144"/>
      <c r="C97" s="144"/>
      <c r="D97" s="144"/>
      <c r="E97" s="144"/>
      <c r="F97" s="144"/>
      <c r="G97" s="144"/>
      <c r="H97" s="144"/>
      <c r="I97" s="144"/>
      <c r="J97" s="144"/>
      <c r="K97" s="144"/>
      <c r="L97" s="144"/>
      <c r="M97" s="144"/>
      <c r="N97" s="144"/>
    </row>
    <row r="98" ht="90.0" customHeight="true">
      <c r="A98" s="145" t="s">
        <v>2317</v>
      </c>
      <c r="B98" s="146" t="s">
        <v>2318</v>
      </c>
      <c r="C98" s="146" t="s">
        <v>2319</v>
      </c>
      <c r="D98" s="146" t="s">
        <v>2320</v>
      </c>
      <c r="E98" s="146" t="s">
        <v>2321</v>
      </c>
      <c r="F98" s="146" t="s">
        <v>2322</v>
      </c>
      <c r="G98" s="146" t="s">
        <v>2323</v>
      </c>
      <c r="H98" s="146" t="s">
        <v>2324</v>
      </c>
      <c r="I98" s="146"/>
      <c r="J98" s="146"/>
      <c r="K98" s="147" t="s">
        <v>225</v>
      </c>
      <c r="L98" s="145" t="s">
        <v>1341</v>
      </c>
      <c r="M98" s="148" t="s">
        <v>1913</v>
      </c>
      <c r="N98" s="149" t="s">
        <v>276</v>
      </c>
    </row>
    <row r="99" ht="90.0" customHeight="true">
      <c r="A99" s="145" t="s">
        <v>2325</v>
      </c>
      <c r="B99" s="146" t="s">
        <v>2326</v>
      </c>
      <c r="C99" s="146" t="s">
        <v>2327</v>
      </c>
      <c r="D99" s="146" t="s">
        <v>2328</v>
      </c>
      <c r="E99" s="146" t="s">
        <v>2329</v>
      </c>
      <c r="F99" s="146" t="s">
        <v>2330</v>
      </c>
      <c r="G99" s="146" t="s">
        <v>2331</v>
      </c>
      <c r="H99" s="146" t="s">
        <v>284</v>
      </c>
      <c r="I99" s="146"/>
      <c r="J99" s="146"/>
      <c r="K99" s="150" t="s">
        <v>227</v>
      </c>
      <c r="L99" s="145" t="s">
        <v>1341</v>
      </c>
      <c r="M99" s="148" t="s">
        <v>1913</v>
      </c>
      <c r="N99" s="149" t="s">
        <v>276</v>
      </c>
    </row>
    <row r="100" ht="90.0" customHeight="true">
      <c r="A100" s="145" t="s">
        <v>2332</v>
      </c>
      <c r="B100" s="146" t="s">
        <v>2333</v>
      </c>
      <c r="C100" s="146" t="s">
        <v>2334</v>
      </c>
      <c r="D100" s="146" t="s">
        <v>2320</v>
      </c>
      <c r="E100" s="146" t="s">
        <v>2335</v>
      </c>
      <c r="F100" s="146" t="s">
        <v>2336</v>
      </c>
      <c r="G100" s="146" t="s">
        <v>2337</v>
      </c>
      <c r="H100" s="146" t="s">
        <v>284</v>
      </c>
      <c r="I100" s="146"/>
      <c r="J100" s="146"/>
      <c r="K100" s="150" t="s">
        <v>227</v>
      </c>
      <c r="L100" s="145" t="s">
        <v>1341</v>
      </c>
      <c r="M100" s="148" t="s">
        <v>1913</v>
      </c>
      <c r="N100" s="149" t="s">
        <v>276</v>
      </c>
    </row>
    <row r="101" ht="90.0" customHeight="true">
      <c r="A101" s="145" t="s">
        <v>2338</v>
      </c>
      <c r="B101" s="146" t="s">
        <v>2339</v>
      </c>
      <c r="C101" s="146" t="s">
        <v>2340</v>
      </c>
      <c r="D101" s="146" t="s">
        <v>2320</v>
      </c>
      <c r="E101" s="146" t="s">
        <v>2341</v>
      </c>
      <c r="F101" s="146" t="s">
        <v>1360</v>
      </c>
      <c r="G101" s="146" t="s">
        <v>2342</v>
      </c>
      <c r="H101" s="146" t="s">
        <v>1362</v>
      </c>
      <c r="I101" s="146"/>
      <c r="J101" s="146"/>
      <c r="K101" s="151" t="s">
        <v>229</v>
      </c>
      <c r="L101" s="145" t="s">
        <v>1341</v>
      </c>
      <c r="M101" s="148" t="s">
        <v>1913</v>
      </c>
      <c r="N101" s="149" t="s">
        <v>1163</v>
      </c>
    </row>
    <row r="102" ht="90.0" customHeight="true">
      <c r="A102" s="145" t="s">
        <v>2343</v>
      </c>
      <c r="B102" s="146" t="s">
        <v>2344</v>
      </c>
      <c r="C102" s="146" t="s">
        <v>2345</v>
      </c>
      <c r="D102" s="146" t="s">
        <v>2346</v>
      </c>
      <c r="E102" s="146" t="s">
        <v>2347</v>
      </c>
      <c r="F102" s="146" t="s">
        <v>2348</v>
      </c>
      <c r="G102" s="146" t="s">
        <v>2349</v>
      </c>
      <c r="H102" s="146" t="s">
        <v>2350</v>
      </c>
      <c r="I102" s="146"/>
      <c r="J102" s="146"/>
      <c r="K102" s="147" t="s">
        <v>225</v>
      </c>
      <c r="L102" s="145" t="s">
        <v>1341</v>
      </c>
      <c r="M102" s="148" t="s">
        <v>1913</v>
      </c>
      <c r="N102" s="149" t="s">
        <v>1195</v>
      </c>
    </row>
    <row r="103" ht="90.0" customHeight="true">
      <c r="A103" s="145" t="s">
        <v>2351</v>
      </c>
      <c r="B103" s="146" t="s">
        <v>2352</v>
      </c>
      <c r="C103" s="146" t="s">
        <v>2353</v>
      </c>
      <c r="D103" s="146" t="s">
        <v>2354</v>
      </c>
      <c r="E103" s="146" t="s">
        <v>2355</v>
      </c>
      <c r="F103" s="146" t="s">
        <v>2356</v>
      </c>
      <c r="G103" s="146" t="s">
        <v>2357</v>
      </c>
      <c r="H103" s="146" t="s">
        <v>2358</v>
      </c>
      <c r="I103" s="146"/>
      <c r="J103" s="146"/>
      <c r="K103" s="147" t="s">
        <v>225</v>
      </c>
      <c r="L103" s="145" t="s">
        <v>1341</v>
      </c>
      <c r="M103" s="148" t="s">
        <v>1913</v>
      </c>
      <c r="N103" s="149" t="s">
        <v>1195</v>
      </c>
    </row>
    <row r="104" ht="90.0" customHeight="true">
      <c r="A104" s="145" t="s">
        <v>2359</v>
      </c>
      <c r="B104" s="146" t="s">
        <v>2360</v>
      </c>
      <c r="C104" s="146" t="s">
        <v>2361</v>
      </c>
      <c r="D104" s="146" t="s">
        <v>2362</v>
      </c>
      <c r="E104" s="146" t="s">
        <v>2363</v>
      </c>
      <c r="F104" s="146" t="s">
        <v>2364</v>
      </c>
      <c r="G104" s="146" t="s">
        <v>2365</v>
      </c>
      <c r="H104" s="146" t="s">
        <v>2366</v>
      </c>
      <c r="I104" s="146"/>
      <c r="J104" s="146"/>
      <c r="K104" s="150" t="s">
        <v>227</v>
      </c>
      <c r="L104" s="145" t="s">
        <v>1928</v>
      </c>
      <c r="M104" s="148" t="s">
        <v>1929</v>
      </c>
      <c r="N104" s="149" t="s">
        <v>337</v>
      </c>
    </row>
    <row r="105" ht="90.0" customHeight="true">
      <c r="A105" s="145" t="s">
        <v>2911</v>
      </c>
      <c r="B105" s="146" t="s">
        <v>2912</v>
      </c>
      <c r="C105" s="146" t="s">
        <v>2913</v>
      </c>
      <c r="D105" s="146" t="s">
        <v>2914</v>
      </c>
      <c r="E105" s="146" t="s">
        <v>2915</v>
      </c>
      <c r="F105" s="146" t="s">
        <v>2916</v>
      </c>
      <c r="G105" s="146" t="s">
        <v>2917</v>
      </c>
      <c r="H105" s="146" t="s">
        <v>2649</v>
      </c>
      <c r="I105" s="146"/>
      <c r="J105" s="146"/>
      <c r="K105" s="150" t="s">
        <v>227</v>
      </c>
      <c r="L105" s="145" t="s">
        <v>2633</v>
      </c>
      <c r="M105" s="148" t="n">
        <v>46295.0</v>
      </c>
      <c r="N105" s="149" t="s">
        <v>314</v>
      </c>
    </row>
    <row r="106" ht="90.0" customHeight="true">
      <c r="A106" s="145" t="s">
        <v>2918</v>
      </c>
      <c r="B106" s="146" t="s">
        <v>2919</v>
      </c>
      <c r="C106" s="146" t="s">
        <v>2920</v>
      </c>
      <c r="D106" s="146" t="s">
        <v>2320</v>
      </c>
      <c r="E106" s="146" t="s">
        <v>2921</v>
      </c>
      <c r="F106" s="146" t="s">
        <v>2922</v>
      </c>
      <c r="G106" s="146" t="s">
        <v>2923</v>
      </c>
      <c r="H106" s="146" t="s">
        <v>2649</v>
      </c>
      <c r="I106" s="146"/>
      <c r="J106" s="146"/>
      <c r="K106" s="150" t="s">
        <v>227</v>
      </c>
      <c r="L106" s="145" t="s">
        <v>2633</v>
      </c>
      <c r="M106" s="148" t="n">
        <v>46295.0</v>
      </c>
      <c r="N106" s="149" t="s">
        <v>2706</v>
      </c>
    </row>
    <row r="107" ht="90.0" customHeight="true">
      <c r="A107" s="145" t="s">
        <v>2924</v>
      </c>
      <c r="B107" s="146" t="s">
        <v>2925</v>
      </c>
      <c r="C107" s="146" t="s">
        <v>2926</v>
      </c>
      <c r="D107" s="146" t="s">
        <v>2320</v>
      </c>
      <c r="E107" s="146" t="s">
        <v>2927</v>
      </c>
      <c r="F107" s="146" t="s">
        <v>2928</v>
      </c>
      <c r="G107" s="146" t="s">
        <v>2929</v>
      </c>
      <c r="H107" s="146" t="s">
        <v>2649</v>
      </c>
      <c r="I107" s="146"/>
      <c r="J107" s="146"/>
      <c r="K107" s="150" t="s">
        <v>229</v>
      </c>
      <c r="L107" s="145" t="s">
        <v>2633</v>
      </c>
      <c r="M107" s="148" t="n">
        <v>46295.0</v>
      </c>
      <c r="N107" s="149" t="s">
        <v>314</v>
      </c>
    </row>
    <row r="108" ht="90.0" customHeight="true">
      <c r="A108" s="145" t="s">
        <v>2930</v>
      </c>
      <c r="B108" s="146" t="s">
        <v>2931</v>
      </c>
      <c r="C108" s="146" t="s">
        <v>2932</v>
      </c>
      <c r="D108" s="146" t="s">
        <v>2933</v>
      </c>
      <c r="E108" s="146" t="s">
        <v>2934</v>
      </c>
      <c r="F108" s="146" t="s">
        <v>2935</v>
      </c>
      <c r="G108" s="146" t="s">
        <v>2936</v>
      </c>
      <c r="H108" s="146" t="s">
        <v>2937</v>
      </c>
      <c r="I108" s="146"/>
      <c r="J108" s="146"/>
      <c r="K108" s="150" t="s">
        <v>229</v>
      </c>
      <c r="L108" s="145" t="s">
        <v>2633</v>
      </c>
      <c r="M108" s="148" t="n">
        <v>46295.0</v>
      </c>
      <c r="N108" s="149" t="s">
        <v>276</v>
      </c>
    </row>
    <row r="109" ht="90.0" customHeight="true">
      <c r="A109" s="145" t="s">
        <v>2938</v>
      </c>
      <c r="B109" s="146" t="s">
        <v>2939</v>
      </c>
      <c r="C109" s="146" t="s">
        <v>2940</v>
      </c>
      <c r="D109" s="146" t="s">
        <v>2941</v>
      </c>
      <c r="E109" s="146" t="s">
        <v>2942</v>
      </c>
      <c r="F109" s="146" t="s">
        <v>2916</v>
      </c>
      <c r="G109" s="146" t="s">
        <v>2943</v>
      </c>
      <c r="H109" s="146" t="s">
        <v>2649</v>
      </c>
      <c r="I109" s="146"/>
      <c r="J109" s="146"/>
      <c r="K109" s="150" t="s">
        <v>229</v>
      </c>
      <c r="L109" s="145" t="s">
        <v>2633</v>
      </c>
      <c r="M109" s="148" t="n">
        <v>46295.0</v>
      </c>
      <c r="N109" s="149" t="s">
        <v>314</v>
      </c>
    </row>
    <row r="110" ht="21.75" customHeight="true">
      <c r="A110" s="144" t="s">
        <v>2367</v>
      </c>
      <c r="B110" s="144"/>
      <c r="C110" s="144"/>
      <c r="D110" s="144"/>
      <c r="E110" s="144"/>
      <c r="F110" s="144"/>
      <c r="G110" s="144"/>
      <c r="H110" s="144"/>
      <c r="I110" s="144"/>
      <c r="J110" s="144"/>
      <c r="K110" s="144"/>
      <c r="L110" s="144"/>
      <c r="M110" s="144"/>
      <c r="N110" s="144"/>
    </row>
    <row r="111" ht="90.0" customHeight="true">
      <c r="A111" s="145" t="s">
        <v>2368</v>
      </c>
      <c r="B111" s="146" t="s">
        <v>2369</v>
      </c>
      <c r="C111" s="146" t="s">
        <v>2370</v>
      </c>
      <c r="D111" s="146" t="s">
        <v>2371</v>
      </c>
      <c r="E111" s="146" t="s">
        <v>2372</v>
      </c>
      <c r="F111" s="146" t="s">
        <v>2373</v>
      </c>
      <c r="G111" s="146" t="s">
        <v>2374</v>
      </c>
      <c r="H111" s="146" t="s">
        <v>2375</v>
      </c>
      <c r="I111" s="146"/>
      <c r="J111" s="146"/>
      <c r="K111" s="147" t="s">
        <v>225</v>
      </c>
      <c r="L111" s="145" t="s">
        <v>1341</v>
      </c>
      <c r="M111" s="148" t="s">
        <v>1913</v>
      </c>
      <c r="N111" s="149" t="s">
        <v>276</v>
      </c>
    </row>
    <row r="112" ht="90.0" customHeight="true">
      <c r="A112" s="145" t="s">
        <v>2376</v>
      </c>
      <c r="B112" s="146" t="s">
        <v>2377</v>
      </c>
      <c r="C112" s="146" t="s">
        <v>2378</v>
      </c>
      <c r="D112" s="146" t="s">
        <v>2371</v>
      </c>
      <c r="E112" s="146" t="s">
        <v>2379</v>
      </c>
      <c r="F112" s="146" t="s">
        <v>2380</v>
      </c>
      <c r="G112" s="146" t="s">
        <v>2381</v>
      </c>
      <c r="H112" s="146" t="s">
        <v>2382</v>
      </c>
      <c r="I112" s="146"/>
      <c r="J112" s="146"/>
      <c r="K112" s="151" t="s">
        <v>229</v>
      </c>
      <c r="L112" s="145" t="s">
        <v>1341</v>
      </c>
      <c r="M112" s="148" t="s">
        <v>1913</v>
      </c>
      <c r="N112" s="149" t="s">
        <v>276</v>
      </c>
    </row>
    <row r="113" ht="90.0" customHeight="true">
      <c r="A113" s="145" t="s">
        <v>2383</v>
      </c>
      <c r="B113" s="146" t="s">
        <v>2384</v>
      </c>
      <c r="C113" s="146" t="s">
        <v>2385</v>
      </c>
      <c r="D113" s="146" t="s">
        <v>2371</v>
      </c>
      <c r="E113" s="146" t="s">
        <v>2386</v>
      </c>
      <c r="F113" s="146" t="s">
        <v>2387</v>
      </c>
      <c r="G113" s="146" t="s">
        <v>2388</v>
      </c>
      <c r="H113" s="146" t="s">
        <v>2389</v>
      </c>
      <c r="I113" s="146"/>
      <c r="J113" s="146"/>
      <c r="K113" s="147" t="s">
        <v>225</v>
      </c>
      <c r="L113" s="145" t="s">
        <v>2130</v>
      </c>
      <c r="M113" s="148" t="s">
        <v>1929</v>
      </c>
      <c r="N113" s="149" t="s">
        <v>345</v>
      </c>
    </row>
    <row r="114" ht="90.0" customHeight="true">
      <c r="A114" s="145" t="s">
        <v>2390</v>
      </c>
      <c r="B114" s="146" t="s">
        <v>2391</v>
      </c>
      <c r="C114" s="146" t="s">
        <v>2392</v>
      </c>
      <c r="D114" s="146" t="s">
        <v>2320</v>
      </c>
      <c r="E114" s="146" t="s">
        <v>2393</v>
      </c>
      <c r="F114" s="146" t="s">
        <v>2394</v>
      </c>
      <c r="G114" s="146" t="s">
        <v>2395</v>
      </c>
      <c r="H114" s="146" t="s">
        <v>2396</v>
      </c>
      <c r="I114" s="146"/>
      <c r="J114" s="146"/>
      <c r="K114" s="151" t="s">
        <v>229</v>
      </c>
      <c r="L114" s="145" t="s">
        <v>1341</v>
      </c>
      <c r="M114" s="148" t="s">
        <v>1913</v>
      </c>
      <c r="N114" s="149" t="s">
        <v>314</v>
      </c>
    </row>
    <row r="115" ht="90.0" customHeight="true">
      <c r="A115" s="145" t="s">
        <v>2397</v>
      </c>
      <c r="B115" s="146" t="s">
        <v>2398</v>
      </c>
      <c r="C115" s="146" t="s">
        <v>2399</v>
      </c>
      <c r="D115" s="146" t="s">
        <v>2371</v>
      </c>
      <c r="E115" s="146" t="s">
        <v>2400</v>
      </c>
      <c r="F115" s="146" t="s">
        <v>2401</v>
      </c>
      <c r="G115" s="146" t="s">
        <v>2402</v>
      </c>
      <c r="H115" s="146" t="s">
        <v>2403</v>
      </c>
      <c r="I115" s="146"/>
      <c r="J115" s="146"/>
      <c r="K115" s="151" t="s">
        <v>229</v>
      </c>
      <c r="L115" s="145" t="s">
        <v>1341</v>
      </c>
      <c r="M115" s="148" t="s">
        <v>1913</v>
      </c>
      <c r="N115" s="149" t="s">
        <v>314</v>
      </c>
    </row>
    <row r="116" ht="90.0" customHeight="true">
      <c r="A116" s="145" t="s">
        <v>2404</v>
      </c>
      <c r="B116" s="146" t="s">
        <v>2405</v>
      </c>
      <c r="C116" s="146" t="s">
        <v>2406</v>
      </c>
      <c r="D116" s="146" t="s">
        <v>2407</v>
      </c>
      <c r="E116" s="146" t="s">
        <v>2408</v>
      </c>
      <c r="F116" s="146" t="s">
        <v>2409</v>
      </c>
      <c r="G116" s="146" t="s">
        <v>2410</v>
      </c>
      <c r="H116" s="146" t="s">
        <v>2411</v>
      </c>
      <c r="I116" s="146"/>
      <c r="J116" s="146"/>
      <c r="K116" s="150" t="s">
        <v>227</v>
      </c>
      <c r="L116" s="145" t="s">
        <v>1341</v>
      </c>
      <c r="M116" s="148" t="s">
        <v>1913</v>
      </c>
      <c r="N116" s="149" t="s">
        <v>427</v>
      </c>
    </row>
    <row r="117" ht="90.0" customHeight="true">
      <c r="A117" s="145" t="s">
        <v>2897</v>
      </c>
      <c r="B117" s="146" t="s">
        <v>2898</v>
      </c>
      <c r="C117" s="146" t="s">
        <v>2899</v>
      </c>
      <c r="D117" s="146" t="s">
        <v>2900</v>
      </c>
      <c r="E117" s="146" t="s">
        <v>2901</v>
      </c>
      <c r="F117" s="146" t="s">
        <v>2902</v>
      </c>
      <c r="G117" s="146" t="s">
        <v>2903</v>
      </c>
      <c r="H117" s="146" t="s">
        <v>2774</v>
      </c>
      <c r="I117" s="146"/>
      <c r="J117" s="146"/>
      <c r="K117" s="150" t="s">
        <v>227</v>
      </c>
      <c r="L117" s="145" t="s">
        <v>2633</v>
      </c>
      <c r="M117" s="148" t="n">
        <v>46295.0</v>
      </c>
      <c r="N117" s="149" t="s">
        <v>345</v>
      </c>
    </row>
    <row r="118" ht="90.0" customHeight="true">
      <c r="A118" s="145" t="s">
        <v>2904</v>
      </c>
      <c r="B118" s="146" t="s">
        <v>2905</v>
      </c>
      <c r="C118" s="146" t="s">
        <v>2906</v>
      </c>
      <c r="D118" s="146" t="s">
        <v>2778</v>
      </c>
      <c r="E118" s="146" t="s">
        <v>2907</v>
      </c>
      <c r="F118" s="146" t="s">
        <v>2908</v>
      </c>
      <c r="G118" s="146" t="s">
        <v>2909</v>
      </c>
      <c r="H118" s="146" t="s">
        <v>2910</v>
      </c>
      <c r="I118" s="146"/>
      <c r="J118" s="146"/>
      <c r="K118" s="150" t="s">
        <v>229</v>
      </c>
      <c r="L118" s="145" t="s">
        <v>2633</v>
      </c>
      <c r="M118" s="148" t="n">
        <v>46295.0</v>
      </c>
      <c r="N118" s="149" t="s">
        <v>345</v>
      </c>
    </row>
    <row r="119" ht="21.75" customHeight="true">
      <c r="A119" s="144" t="s">
        <v>2412</v>
      </c>
      <c r="B119" s="144"/>
      <c r="C119" s="144"/>
      <c r="D119" s="144"/>
      <c r="E119" s="144"/>
      <c r="F119" s="144"/>
      <c r="G119" s="144"/>
      <c r="H119" s="144"/>
      <c r="I119" s="144"/>
      <c r="J119" s="144"/>
      <c r="K119" s="144"/>
      <c r="L119" s="144"/>
      <c r="M119" s="144"/>
      <c r="N119" s="144"/>
    </row>
    <row r="120" ht="90.0" customHeight="true">
      <c r="A120" s="145" t="s">
        <v>2413</v>
      </c>
      <c r="B120" s="146" t="s">
        <v>2414</v>
      </c>
      <c r="C120" s="146" t="s">
        <v>2415</v>
      </c>
      <c r="D120" s="146" t="s">
        <v>1975</v>
      </c>
      <c r="E120" s="146" t="s">
        <v>2416</v>
      </c>
      <c r="F120" s="146" t="s">
        <v>1760</v>
      </c>
      <c r="G120" s="146" t="s">
        <v>2417</v>
      </c>
      <c r="H120" s="146" t="s">
        <v>1762</v>
      </c>
      <c r="I120" s="146"/>
      <c r="J120" s="146"/>
      <c r="K120" s="150" t="s">
        <v>227</v>
      </c>
      <c r="L120" s="145" t="s">
        <v>1341</v>
      </c>
      <c r="M120" s="148" t="s">
        <v>1913</v>
      </c>
      <c r="N120" s="149" t="s">
        <v>1163</v>
      </c>
    </row>
    <row r="121" ht="90.0" customHeight="true">
      <c r="A121" s="145" t="s">
        <v>2418</v>
      </c>
      <c r="B121" s="146" t="s">
        <v>2419</v>
      </c>
      <c r="C121" s="146" t="s">
        <v>2420</v>
      </c>
      <c r="D121" s="146" t="s">
        <v>1975</v>
      </c>
      <c r="E121" s="146" t="s">
        <v>2421</v>
      </c>
      <c r="F121" s="146" t="s">
        <v>1767</v>
      </c>
      <c r="G121" s="146" t="s">
        <v>2422</v>
      </c>
      <c r="H121" s="146" t="s">
        <v>1769</v>
      </c>
      <c r="I121" s="146"/>
      <c r="J121" s="146"/>
      <c r="K121" s="150" t="s">
        <v>227</v>
      </c>
      <c r="L121" s="145" t="s">
        <v>1341</v>
      </c>
      <c r="M121" s="148" t="s">
        <v>1913</v>
      </c>
      <c r="N121" s="149" t="s">
        <v>1163</v>
      </c>
    </row>
    <row r="122" ht="90.0" customHeight="true">
      <c r="A122" s="145" t="s">
        <v>2423</v>
      </c>
      <c r="B122" s="146" t="s">
        <v>2424</v>
      </c>
      <c r="C122" s="146" t="s">
        <v>2425</v>
      </c>
      <c r="D122" s="146" t="s">
        <v>2426</v>
      </c>
      <c r="E122" s="146" t="s">
        <v>2427</v>
      </c>
      <c r="F122" s="152" t="s">
        <v>2428</v>
      </c>
      <c r="G122" s="146" t="s">
        <v>2429</v>
      </c>
      <c r="H122" s="146" t="s">
        <v>1861</v>
      </c>
      <c r="I122" s="146"/>
      <c r="J122" s="146"/>
      <c r="K122" s="147" t="s">
        <v>225</v>
      </c>
      <c r="L122" s="145" t="s">
        <v>1928</v>
      </c>
      <c r="M122" s="148" t="n">
        <v>46291.0</v>
      </c>
      <c r="N122" s="149" t="s">
        <v>1163</v>
      </c>
    </row>
    <row r="123" ht="90.0" customHeight="true">
      <c r="A123" s="145" t="s">
        <v>2430</v>
      </c>
      <c r="B123" s="146" t="s">
        <v>2431</v>
      </c>
      <c r="C123" s="146" t="s">
        <v>2432</v>
      </c>
      <c r="D123" s="146" t="s">
        <v>2433</v>
      </c>
      <c r="E123" s="146" t="s">
        <v>2434</v>
      </c>
      <c r="F123" s="146" t="s">
        <v>2435</v>
      </c>
      <c r="G123" s="146" t="s">
        <v>2436</v>
      </c>
      <c r="H123" s="146" t="s">
        <v>2437</v>
      </c>
      <c r="I123" s="146"/>
      <c r="J123" s="146"/>
      <c r="K123" s="150" t="s">
        <v>227</v>
      </c>
      <c r="L123" s="145" t="s">
        <v>1928</v>
      </c>
      <c r="M123" s="148" t="n">
        <v>46291.0</v>
      </c>
      <c r="N123" s="149" t="s">
        <v>276</v>
      </c>
    </row>
    <row r="124" ht="90.0" customHeight="true">
      <c r="A124" s="145" t="s">
        <v>2438</v>
      </c>
      <c r="B124" s="146" t="s">
        <v>2439</v>
      </c>
      <c r="C124" s="146" t="s">
        <v>2440</v>
      </c>
      <c r="D124" s="146" t="s">
        <v>2441</v>
      </c>
      <c r="E124" s="146" t="s">
        <v>2442</v>
      </c>
      <c r="F124" s="146" t="s">
        <v>2443</v>
      </c>
      <c r="G124" s="146" t="s">
        <v>2444</v>
      </c>
      <c r="H124" s="146" t="s">
        <v>1785</v>
      </c>
      <c r="I124" s="146"/>
      <c r="J124" s="146"/>
      <c r="K124" s="150" t="s">
        <v>227</v>
      </c>
      <c r="L124" s="145" t="s">
        <v>2130</v>
      </c>
      <c r="M124" s="148" t="s">
        <v>1929</v>
      </c>
      <c r="N124" s="149" t="s">
        <v>1163</v>
      </c>
    </row>
    <row r="125" ht="90.0" customHeight="true">
      <c r="A125" s="145" t="s">
        <v>2445</v>
      </c>
      <c r="B125" s="146" t="s">
        <v>1787</v>
      </c>
      <c r="C125" s="146" t="s">
        <v>2446</v>
      </c>
      <c r="D125" s="146" t="s">
        <v>1933</v>
      </c>
      <c r="E125" s="146" t="s">
        <v>2447</v>
      </c>
      <c r="F125" s="146" t="s">
        <v>1790</v>
      </c>
      <c r="G125" s="146" t="s">
        <v>1791</v>
      </c>
      <c r="H125" s="146" t="s">
        <v>1162</v>
      </c>
      <c r="I125" s="146"/>
      <c r="J125" s="146"/>
      <c r="K125" s="150" t="s">
        <v>227</v>
      </c>
      <c r="L125" s="145" t="s">
        <v>1341</v>
      </c>
      <c r="M125" s="148" t="s">
        <v>1913</v>
      </c>
      <c r="N125" s="149" t="s">
        <v>1163</v>
      </c>
    </row>
    <row r="126" ht="90.0" customHeight="true">
      <c r="A126" s="145" t="s">
        <v>2844</v>
      </c>
      <c r="B126" s="146" t="s">
        <v>2845</v>
      </c>
      <c r="C126" s="146" t="s">
        <v>2846</v>
      </c>
      <c r="D126" s="146" t="s">
        <v>2847</v>
      </c>
      <c r="E126" s="146" t="s">
        <v>2848</v>
      </c>
      <c r="F126" s="146" t="s">
        <v>2849</v>
      </c>
      <c r="G126" s="146" t="s">
        <v>2850</v>
      </c>
      <c r="H126" s="146" t="s">
        <v>2851</v>
      </c>
      <c r="I126" s="146"/>
      <c r="J126" s="146"/>
      <c r="K126" s="150" t="s">
        <v>227</v>
      </c>
      <c r="L126" s="145" t="s">
        <v>2633</v>
      </c>
      <c r="M126" s="148" t="n">
        <v>46295.0</v>
      </c>
      <c r="N126" s="149" t="s">
        <v>1163</v>
      </c>
    </row>
    <row r="127" ht="21.75" customHeight="true">
      <c r="A127" s="144" t="s">
        <v>2448</v>
      </c>
      <c r="B127" s="144"/>
      <c r="C127" s="144"/>
      <c r="D127" s="144"/>
      <c r="E127" s="144"/>
      <c r="F127" s="144"/>
      <c r="G127" s="144"/>
      <c r="H127" s="144"/>
      <c r="I127" s="144"/>
      <c r="J127" s="144"/>
      <c r="K127" s="144"/>
      <c r="L127" s="144"/>
      <c r="M127" s="144"/>
      <c r="N127" s="144"/>
    </row>
    <row r="128" ht="90.0" customHeight="true">
      <c r="A128" s="145" t="s">
        <v>2449</v>
      </c>
      <c r="B128" s="146" t="s">
        <v>2450</v>
      </c>
      <c r="C128" s="146" t="s">
        <v>2451</v>
      </c>
      <c r="D128" s="146" t="s">
        <v>2433</v>
      </c>
      <c r="E128" s="146" t="s">
        <v>2452</v>
      </c>
      <c r="F128" s="146" t="s">
        <v>2453</v>
      </c>
      <c r="G128" s="146" t="s">
        <v>2454</v>
      </c>
      <c r="H128" s="146" t="s">
        <v>2455</v>
      </c>
      <c r="I128" s="146"/>
      <c r="J128" s="146"/>
      <c r="K128" s="147" t="s">
        <v>225</v>
      </c>
      <c r="L128" s="145" t="s">
        <v>1341</v>
      </c>
      <c r="M128" s="148" t="s">
        <v>1913</v>
      </c>
      <c r="N128" s="149" t="s">
        <v>276</v>
      </c>
    </row>
    <row r="129" ht="90.0" customHeight="true">
      <c r="A129" s="145" t="s">
        <v>2456</v>
      </c>
      <c r="B129" s="146" t="s">
        <v>2457</v>
      </c>
      <c r="C129" s="146" t="s">
        <v>2458</v>
      </c>
      <c r="D129" s="146" t="s">
        <v>2459</v>
      </c>
      <c r="E129" s="146" t="s">
        <v>2460</v>
      </c>
      <c r="F129" s="146" t="s">
        <v>2461</v>
      </c>
      <c r="G129" s="146" t="s">
        <v>2462</v>
      </c>
      <c r="H129" s="146" t="s">
        <v>284</v>
      </c>
      <c r="I129" s="146"/>
      <c r="J129" s="146"/>
      <c r="K129" s="147" t="s">
        <v>225</v>
      </c>
      <c r="L129" s="145" t="s">
        <v>1341</v>
      </c>
      <c r="M129" s="148" t="s">
        <v>1913</v>
      </c>
      <c r="N129" s="149" t="s">
        <v>276</v>
      </c>
    </row>
    <row r="130" ht="90.0" customHeight="true">
      <c r="A130" s="145" t="s">
        <v>2463</v>
      </c>
      <c r="B130" s="146" t="s">
        <v>2464</v>
      </c>
      <c r="C130" s="146" t="s">
        <v>2465</v>
      </c>
      <c r="D130" s="146" t="s">
        <v>2466</v>
      </c>
      <c r="E130" s="146" t="s">
        <v>2467</v>
      </c>
      <c r="F130" s="146" t="s">
        <v>2468</v>
      </c>
      <c r="G130" s="146" t="s">
        <v>2469</v>
      </c>
      <c r="H130" s="146" t="s">
        <v>2470</v>
      </c>
      <c r="I130" s="146"/>
      <c r="J130" s="146"/>
      <c r="K130" s="150" t="s">
        <v>227</v>
      </c>
      <c r="L130" s="145" t="s">
        <v>1341</v>
      </c>
      <c r="M130" s="148" t="s">
        <v>1913</v>
      </c>
      <c r="N130" s="149" t="s">
        <v>276</v>
      </c>
    </row>
    <row r="131" ht="90.0" customHeight="true">
      <c r="A131" s="145" t="s">
        <v>2471</v>
      </c>
      <c r="B131" s="146" t="s">
        <v>2472</v>
      </c>
      <c r="C131" s="146" t="s">
        <v>2473</v>
      </c>
      <c r="D131" s="146" t="s">
        <v>2474</v>
      </c>
      <c r="E131" s="146" t="s">
        <v>2475</v>
      </c>
      <c r="F131" s="146" t="s">
        <v>2476</v>
      </c>
      <c r="G131" s="146" t="s">
        <v>2477</v>
      </c>
      <c r="H131" s="146" t="s">
        <v>2478</v>
      </c>
      <c r="I131" s="146"/>
      <c r="J131" s="146"/>
      <c r="K131" s="150" t="s">
        <v>227</v>
      </c>
      <c r="L131" s="145" t="s">
        <v>1341</v>
      </c>
      <c r="M131" s="148" t="s">
        <v>1913</v>
      </c>
      <c r="N131" s="149" t="s">
        <v>276</v>
      </c>
    </row>
    <row r="132" ht="90.0" customHeight="true">
      <c r="A132" s="145" t="s">
        <v>2479</v>
      </c>
      <c r="B132" s="146" t="s">
        <v>2480</v>
      </c>
      <c r="C132" s="146" t="s">
        <v>2481</v>
      </c>
      <c r="D132" s="146" t="s">
        <v>2482</v>
      </c>
      <c r="E132" s="146" t="s">
        <v>2483</v>
      </c>
      <c r="F132" s="146" t="s">
        <v>2484</v>
      </c>
      <c r="G132" s="146" t="s">
        <v>2485</v>
      </c>
      <c r="H132" s="146" t="s">
        <v>2486</v>
      </c>
      <c r="I132" s="146"/>
      <c r="J132" s="146"/>
      <c r="K132" s="150" t="s">
        <v>227</v>
      </c>
      <c r="L132" s="145" t="s">
        <v>1341</v>
      </c>
      <c r="M132" s="148" t="s">
        <v>1913</v>
      </c>
      <c r="N132" s="149" t="s">
        <v>276</v>
      </c>
    </row>
    <row r="133" ht="90.0" customHeight="true">
      <c r="A133" s="145" t="s">
        <v>2487</v>
      </c>
      <c r="B133" s="146" t="s">
        <v>2488</v>
      </c>
      <c r="C133" s="146" t="s">
        <v>2489</v>
      </c>
      <c r="D133" s="146" t="s">
        <v>2490</v>
      </c>
      <c r="E133" s="146" t="s">
        <v>2491</v>
      </c>
      <c r="F133" s="146" t="s">
        <v>2492</v>
      </c>
      <c r="G133" s="146" t="s">
        <v>2493</v>
      </c>
      <c r="H133" s="146" t="s">
        <v>2494</v>
      </c>
      <c r="I133" s="146"/>
      <c r="J133" s="146"/>
      <c r="K133" s="150" t="s">
        <v>227</v>
      </c>
      <c r="L133" s="145" t="s">
        <v>1341</v>
      </c>
      <c r="M133" s="148" t="s">
        <v>1913</v>
      </c>
      <c r="N133" s="149" t="s">
        <v>276</v>
      </c>
    </row>
    <row r="134" ht="90.0" customHeight="true">
      <c r="A134" s="145" t="s">
        <v>2495</v>
      </c>
      <c r="B134" s="146" t="s">
        <v>2496</v>
      </c>
      <c r="C134" s="146" t="s">
        <v>2497</v>
      </c>
      <c r="D134" s="146" t="s">
        <v>2498</v>
      </c>
      <c r="E134" s="146" t="s">
        <v>2499</v>
      </c>
      <c r="F134" s="146" t="s">
        <v>2500</v>
      </c>
      <c r="G134" s="146" t="s">
        <v>2501</v>
      </c>
      <c r="H134" s="146" t="s">
        <v>2502</v>
      </c>
      <c r="I134" s="146"/>
      <c r="J134" s="146"/>
      <c r="K134" s="147" t="s">
        <v>225</v>
      </c>
      <c r="L134" s="145" t="s">
        <v>1341</v>
      </c>
      <c r="M134" s="148" t="s">
        <v>1913</v>
      </c>
      <c r="N134" s="149" t="s">
        <v>276</v>
      </c>
    </row>
    <row r="135" ht="90.0" customHeight="true">
      <c r="A135" s="145" t="s">
        <v>2503</v>
      </c>
      <c r="B135" s="146" t="s">
        <v>2504</v>
      </c>
      <c r="C135" s="146" t="s">
        <v>2505</v>
      </c>
      <c r="D135" s="146" t="s">
        <v>2506</v>
      </c>
      <c r="E135" s="146" t="s">
        <v>2507</v>
      </c>
      <c r="F135" s="146" t="s">
        <v>2508</v>
      </c>
      <c r="G135" s="146" t="s">
        <v>2509</v>
      </c>
      <c r="H135" s="146" t="s">
        <v>2510</v>
      </c>
      <c r="I135" s="146"/>
      <c r="J135" s="146"/>
      <c r="K135" s="150" t="s">
        <v>227</v>
      </c>
      <c r="L135" s="145" t="s">
        <v>1341</v>
      </c>
      <c r="M135" s="148" t="s">
        <v>1913</v>
      </c>
      <c r="N135" s="149" t="s">
        <v>276</v>
      </c>
    </row>
    <row r="136" ht="90.0" customHeight="true">
      <c r="A136" s="145" t="s">
        <v>2511</v>
      </c>
      <c r="B136" s="146" t="s">
        <v>2512</v>
      </c>
      <c r="C136" s="146" t="s">
        <v>2513</v>
      </c>
      <c r="D136" s="146" t="s">
        <v>2514</v>
      </c>
      <c r="E136" s="146" t="s">
        <v>2515</v>
      </c>
      <c r="F136" s="146" t="s">
        <v>2516</v>
      </c>
      <c r="G136" s="146" t="s">
        <v>2517</v>
      </c>
      <c r="H136" s="146" t="s">
        <v>2518</v>
      </c>
      <c r="I136" s="146"/>
      <c r="J136" s="146"/>
      <c r="K136" s="147" t="s">
        <v>225</v>
      </c>
      <c r="L136" s="145" t="s">
        <v>1341</v>
      </c>
      <c r="M136" s="148" t="s">
        <v>1913</v>
      </c>
      <c r="N136" s="149" t="s">
        <v>337</v>
      </c>
    </row>
    <row r="137" ht="90.0" customHeight="true">
      <c r="A137" s="145" t="s">
        <v>2519</v>
      </c>
      <c r="B137" s="146" t="s">
        <v>2520</v>
      </c>
      <c r="C137" s="146" t="s">
        <v>2521</v>
      </c>
      <c r="D137" s="146" t="s">
        <v>2433</v>
      </c>
      <c r="E137" s="146" t="s">
        <v>2522</v>
      </c>
      <c r="F137" s="146" t="s">
        <v>2523</v>
      </c>
      <c r="G137" s="146" t="s">
        <v>2524</v>
      </c>
      <c r="H137" s="146" t="s">
        <v>2525</v>
      </c>
      <c r="I137" s="146"/>
      <c r="J137" s="146"/>
      <c r="K137" s="147" t="s">
        <v>225</v>
      </c>
      <c r="L137" s="145" t="s">
        <v>1341</v>
      </c>
      <c r="M137" s="148" t="s">
        <v>1913</v>
      </c>
      <c r="N137" s="149" t="s">
        <v>276</v>
      </c>
    </row>
    <row r="138" ht="90.0" customHeight="true">
      <c r="A138" s="145" t="s">
        <v>2526</v>
      </c>
      <c r="B138" s="146" t="s">
        <v>2527</v>
      </c>
      <c r="C138" s="146" t="s">
        <v>2528</v>
      </c>
      <c r="D138" s="146" t="s">
        <v>2529</v>
      </c>
      <c r="E138" s="146" t="s">
        <v>2530</v>
      </c>
      <c r="F138" s="146" t="s">
        <v>2531</v>
      </c>
      <c r="G138" s="146" t="s">
        <v>2532</v>
      </c>
      <c r="H138" s="146" t="s">
        <v>2533</v>
      </c>
      <c r="I138" s="146"/>
      <c r="J138" s="146"/>
      <c r="K138" s="147" t="s">
        <v>225</v>
      </c>
      <c r="L138" s="145" t="s">
        <v>1341</v>
      </c>
      <c r="M138" s="148" t="s">
        <v>1913</v>
      </c>
      <c r="N138" s="149" t="s">
        <v>337</v>
      </c>
    </row>
    <row r="139" ht="90.0" customHeight="true">
      <c r="A139" s="145" t="s">
        <v>2534</v>
      </c>
      <c r="B139" s="146" t="s">
        <v>2535</v>
      </c>
      <c r="C139" s="146" t="s">
        <v>2536</v>
      </c>
      <c r="D139" s="146" t="s">
        <v>2433</v>
      </c>
      <c r="E139" s="146" t="s">
        <v>2537</v>
      </c>
      <c r="F139" s="146" t="s">
        <v>2538</v>
      </c>
      <c r="G139" s="146" t="s">
        <v>2539</v>
      </c>
      <c r="H139" s="146" t="s">
        <v>2540</v>
      </c>
      <c r="I139" s="146"/>
      <c r="J139" s="146"/>
      <c r="K139" s="147" t="s">
        <v>225</v>
      </c>
      <c r="L139" s="145" t="s">
        <v>1928</v>
      </c>
      <c r="M139" s="148" t="s">
        <v>1929</v>
      </c>
      <c r="N139" s="149" t="s">
        <v>337</v>
      </c>
    </row>
    <row r="140" ht="90.0" customHeight="true">
      <c r="A140" s="145" t="s">
        <v>2642</v>
      </c>
      <c r="B140" s="146" t="s">
        <v>2643</v>
      </c>
      <c r="C140" s="146" t="s">
        <v>2644</v>
      </c>
      <c r="D140" s="146" t="s">
        <v>2645</v>
      </c>
      <c r="E140" s="146" t="s">
        <v>2646</v>
      </c>
      <c r="F140" s="146" t="s">
        <v>2647</v>
      </c>
      <c r="G140" s="146" t="s">
        <v>2648</v>
      </c>
      <c r="H140" s="146" t="s">
        <v>2649</v>
      </c>
      <c r="I140" s="146"/>
      <c r="J140" s="146"/>
      <c r="K140" s="147" t="s">
        <v>227</v>
      </c>
      <c r="L140" s="145" t="s">
        <v>2633</v>
      </c>
      <c r="M140" s="148" t="n">
        <v>46295.0</v>
      </c>
      <c r="N140" s="149" t="s">
        <v>345</v>
      </c>
    </row>
    <row r="141" ht="90.0" customHeight="true">
      <c r="A141" s="145" t="s">
        <v>2650</v>
      </c>
      <c r="B141" s="146" t="s">
        <v>2651</v>
      </c>
      <c r="C141" s="146" t="s">
        <v>2652</v>
      </c>
      <c r="D141" s="146" t="s">
        <v>2653</v>
      </c>
      <c r="E141" s="146" t="s">
        <v>2654</v>
      </c>
      <c r="F141" s="146" t="s">
        <v>2639</v>
      </c>
      <c r="G141" s="146" t="s">
        <v>2655</v>
      </c>
      <c r="H141" s="146" t="s">
        <v>2649</v>
      </c>
      <c r="I141" s="146"/>
      <c r="J141" s="146"/>
      <c r="K141" s="147" t="s">
        <v>227</v>
      </c>
      <c r="L141" s="145" t="s">
        <v>2633</v>
      </c>
      <c r="M141" s="148" t="n">
        <v>46295.0</v>
      </c>
      <c r="N141" s="149" t="s">
        <v>314</v>
      </c>
    </row>
    <row r="142" ht="90.0" customHeight="true">
      <c r="A142" s="145" t="s">
        <v>2656</v>
      </c>
      <c r="B142" s="146" t="s">
        <v>2657</v>
      </c>
      <c r="C142" s="146" t="s">
        <v>2658</v>
      </c>
      <c r="D142" s="146" t="s">
        <v>2659</v>
      </c>
      <c r="E142" s="146" t="s">
        <v>2660</v>
      </c>
      <c r="F142" s="146" t="s">
        <v>2661</v>
      </c>
      <c r="G142" s="146" t="s">
        <v>2662</v>
      </c>
      <c r="H142" s="146" t="s">
        <v>2663</v>
      </c>
      <c r="I142" s="146"/>
      <c r="J142" s="146"/>
      <c r="K142" s="147" t="s">
        <v>227</v>
      </c>
      <c r="L142" s="145" t="s">
        <v>2633</v>
      </c>
      <c r="M142" s="148" t="n">
        <v>46295.0</v>
      </c>
      <c r="N142" s="149" t="s">
        <v>314</v>
      </c>
    </row>
    <row r="143" ht="90.0" customHeight="true">
      <c r="A143" s="145" t="s">
        <v>2664</v>
      </c>
      <c r="B143" s="146" t="s">
        <v>2665</v>
      </c>
      <c r="C143" s="146" t="s">
        <v>2666</v>
      </c>
      <c r="D143" s="146" t="s">
        <v>2667</v>
      </c>
      <c r="E143" s="146" t="s">
        <v>2668</v>
      </c>
      <c r="F143" s="146" t="s">
        <v>2639</v>
      </c>
      <c r="G143" s="146" t="s">
        <v>2669</v>
      </c>
      <c r="H143" s="146" t="s">
        <v>2670</v>
      </c>
      <c r="I143" s="146"/>
      <c r="J143" s="146"/>
      <c r="K143" s="147" t="s">
        <v>227</v>
      </c>
      <c r="L143" s="145" t="s">
        <v>2633</v>
      </c>
      <c r="M143" s="148" t="n">
        <v>46295.0</v>
      </c>
      <c r="N143" s="149" t="s">
        <v>276</v>
      </c>
    </row>
    <row r="144" ht="90.0" customHeight="true">
      <c r="A144" s="145" t="s">
        <v>2671</v>
      </c>
      <c r="B144" s="146" t="s">
        <v>2672</v>
      </c>
      <c r="C144" s="146" t="s">
        <v>2673</v>
      </c>
      <c r="D144" s="146" t="s">
        <v>2674</v>
      </c>
      <c r="E144" s="146" t="s">
        <v>2675</v>
      </c>
      <c r="F144" s="146" t="s">
        <v>2676</v>
      </c>
      <c r="G144" s="146" t="s">
        <v>2677</v>
      </c>
      <c r="H144" s="146" t="s">
        <v>2678</v>
      </c>
      <c r="I144" s="146"/>
      <c r="J144" s="146"/>
      <c r="K144" s="147" t="s">
        <v>227</v>
      </c>
      <c r="L144" s="145" t="s">
        <v>2633</v>
      </c>
      <c r="M144" s="148" t="n">
        <v>46295.0</v>
      </c>
      <c r="N144" s="149" t="s">
        <v>345</v>
      </c>
    </row>
    <row r="145" ht="90.0" customHeight="true">
      <c r="A145" s="145" t="s">
        <v>2679</v>
      </c>
      <c r="B145" s="146" t="s">
        <v>2680</v>
      </c>
      <c r="C145" s="146" t="s">
        <v>2681</v>
      </c>
      <c r="D145" s="146" t="s">
        <v>2682</v>
      </c>
      <c r="E145" s="146" t="s">
        <v>2683</v>
      </c>
      <c r="F145" s="146" t="s">
        <v>2684</v>
      </c>
      <c r="G145" s="146" t="s">
        <v>2685</v>
      </c>
      <c r="H145" s="146" t="s">
        <v>2686</v>
      </c>
      <c r="I145" s="146"/>
      <c r="J145" s="146"/>
      <c r="K145" s="147" t="s">
        <v>225</v>
      </c>
      <c r="L145" s="145" t="s">
        <v>2633</v>
      </c>
      <c r="M145" s="148" t="n">
        <v>46295.0</v>
      </c>
      <c r="N145" s="149" t="s">
        <v>345</v>
      </c>
    </row>
    <row r="146" ht="90.0" customHeight="true">
      <c r="A146" s="145" t="s">
        <v>2687</v>
      </c>
      <c r="B146" s="146" t="s">
        <v>2688</v>
      </c>
      <c r="C146" s="146" t="s">
        <v>2689</v>
      </c>
      <c r="D146" s="146" t="s">
        <v>2645</v>
      </c>
      <c r="E146" s="146" t="s">
        <v>2690</v>
      </c>
      <c r="F146" s="146" t="s">
        <v>2639</v>
      </c>
      <c r="G146" s="146" t="s">
        <v>2691</v>
      </c>
      <c r="H146" s="146" t="s">
        <v>2663</v>
      </c>
      <c r="I146" s="146"/>
      <c r="J146" s="146"/>
      <c r="K146" s="147" t="s">
        <v>229</v>
      </c>
      <c r="L146" s="145" t="s">
        <v>2633</v>
      </c>
      <c r="M146" s="148" t="n">
        <v>46295.0</v>
      </c>
      <c r="N146" s="149" t="s">
        <v>314</v>
      </c>
    </row>
    <row r="147" ht="90.0" customHeight="true">
      <c r="A147" s="145" t="s">
        <v>3084</v>
      </c>
      <c r="B147" s="146" t="s">
        <v>3136</v>
      </c>
      <c r="C147" s="146" t="s">
        <v>3137</v>
      </c>
      <c r="D147" s="146" t="s">
        <v>3087</v>
      </c>
      <c r="E147" s="146" t="s">
        <v>3138</v>
      </c>
      <c r="F147" s="146" t="s">
        <v>2959</v>
      </c>
      <c r="G147" s="146" t="s">
        <v>3089</v>
      </c>
      <c r="H147" s="146" t="s">
        <v>2649</v>
      </c>
      <c r="I147" s="146"/>
      <c r="J147" s="146"/>
      <c r="K147" s="147" t="s">
        <v>227</v>
      </c>
      <c r="L147" s="145" t="s">
        <v>2633</v>
      </c>
      <c r="M147" s="148" t="n">
        <v>46297.0</v>
      </c>
      <c r="N147" s="149" t="s">
        <v>314</v>
      </c>
    </row>
    <row r="148" ht="90.0" customHeight="true">
      <c r="A148" s="145" t="s">
        <v>3090</v>
      </c>
      <c r="B148" s="146" t="s">
        <v>3091</v>
      </c>
      <c r="C148" s="146" t="s">
        <v>3092</v>
      </c>
      <c r="D148" s="146" t="s">
        <v>3093</v>
      </c>
      <c r="E148" s="146" t="s">
        <v>3094</v>
      </c>
      <c r="F148" s="146" t="s">
        <v>3007</v>
      </c>
      <c r="G148" s="146" t="s">
        <v>3095</v>
      </c>
      <c r="H148" s="146" t="s">
        <v>3009</v>
      </c>
      <c r="I148" s="146"/>
      <c r="J148" s="146"/>
      <c r="K148" s="147" t="s">
        <v>225</v>
      </c>
      <c r="L148" s="145" t="s">
        <v>2633</v>
      </c>
      <c r="M148" s="148" t="n">
        <v>46297.0</v>
      </c>
      <c r="N148" s="149" t="s">
        <v>276</v>
      </c>
    </row>
    <row r="149" ht="90.0" customHeight="true">
      <c r="A149" s="145" t="s">
        <v>3096</v>
      </c>
      <c r="B149" s="146" t="s">
        <v>3097</v>
      </c>
      <c r="C149" s="146" t="s">
        <v>3098</v>
      </c>
      <c r="D149" s="146" t="s">
        <v>3099</v>
      </c>
      <c r="E149" s="146" t="s">
        <v>3100</v>
      </c>
      <c r="F149" s="146" t="s">
        <v>3007</v>
      </c>
      <c r="G149" s="146" t="s">
        <v>3101</v>
      </c>
      <c r="H149" s="146" t="s">
        <v>3102</v>
      </c>
      <c r="I149" s="146"/>
      <c r="J149" s="146"/>
      <c r="K149" s="147" t="s">
        <v>225</v>
      </c>
      <c r="L149" s="145" t="s">
        <v>2633</v>
      </c>
      <c r="M149" s="148" t="n">
        <v>46297.0</v>
      </c>
      <c r="N149" s="149" t="s">
        <v>276</v>
      </c>
    </row>
    <row r="150" ht="90.0" customHeight="true">
      <c r="A150" s="145" t="s">
        <v>3103</v>
      </c>
      <c r="B150" s="146" t="s">
        <v>3104</v>
      </c>
      <c r="C150" s="146" t="s">
        <v>3105</v>
      </c>
      <c r="D150" s="146" t="s">
        <v>3099</v>
      </c>
      <c r="E150" s="146" t="s">
        <v>3106</v>
      </c>
      <c r="F150" s="146" t="s">
        <v>3007</v>
      </c>
      <c r="G150" s="146" t="s">
        <v>3107</v>
      </c>
      <c r="H150" s="146" t="s">
        <v>3108</v>
      </c>
      <c r="I150" s="146"/>
      <c r="J150" s="146"/>
      <c r="K150" s="147" t="s">
        <v>225</v>
      </c>
      <c r="L150" s="145" t="s">
        <v>2633</v>
      </c>
      <c r="M150" s="148" t="n">
        <v>46297.0</v>
      </c>
      <c r="N150" s="149" t="s">
        <v>276</v>
      </c>
    </row>
    <row r="151" ht="90.0" customHeight="true">
      <c r="A151" s="145" t="s">
        <v>3109</v>
      </c>
      <c r="B151" s="146" t="s">
        <v>3110</v>
      </c>
      <c r="C151" s="146" t="s">
        <v>3111</v>
      </c>
      <c r="D151" s="146" t="s">
        <v>3112</v>
      </c>
      <c r="E151" s="146" t="s">
        <v>3113</v>
      </c>
      <c r="F151" s="146" t="s">
        <v>3007</v>
      </c>
      <c r="G151" s="146" t="s">
        <v>3114</v>
      </c>
      <c r="H151" s="146" t="s">
        <v>3102</v>
      </c>
      <c r="I151" s="146"/>
      <c r="J151" s="146"/>
      <c r="K151" s="147" t="s">
        <v>225</v>
      </c>
      <c r="L151" s="145" t="s">
        <v>2633</v>
      </c>
      <c r="M151" s="148" t="n">
        <v>46297.0</v>
      </c>
      <c r="N151" s="149" t="s">
        <v>314</v>
      </c>
    </row>
    <row r="152" ht="90.0" customHeight="true">
      <c r="A152" s="145" t="s">
        <v>3115</v>
      </c>
      <c r="B152" s="146" t="s">
        <v>3116</v>
      </c>
      <c r="C152" s="146" t="s">
        <v>3117</v>
      </c>
      <c r="D152" s="146" t="s">
        <v>3118</v>
      </c>
      <c r="E152" s="146" t="s">
        <v>3119</v>
      </c>
      <c r="F152" s="146" t="s">
        <v>3007</v>
      </c>
      <c r="G152" s="146" t="s">
        <v>3120</v>
      </c>
      <c r="H152" s="146" t="s">
        <v>3102</v>
      </c>
      <c r="I152" s="146"/>
      <c r="J152" s="146"/>
      <c r="K152" s="147" t="s">
        <v>225</v>
      </c>
      <c r="L152" s="145" t="s">
        <v>2633</v>
      </c>
      <c r="M152" s="148" t="n">
        <v>46297.0</v>
      </c>
      <c r="N152" s="149" t="s">
        <v>314</v>
      </c>
    </row>
    <row r="153" ht="90.0" customHeight="true">
      <c r="A153" s="145" t="s">
        <v>3121</v>
      </c>
      <c r="B153" s="146" t="s">
        <v>3122</v>
      </c>
      <c r="C153" s="146" t="s">
        <v>3123</v>
      </c>
      <c r="D153" s="146" t="s">
        <v>3124</v>
      </c>
      <c r="E153" s="146" t="s">
        <v>3119</v>
      </c>
      <c r="F153" s="146" t="s">
        <v>3007</v>
      </c>
      <c r="G153" s="146" t="s">
        <v>3125</v>
      </c>
      <c r="H153" s="146" t="s">
        <v>3102</v>
      </c>
      <c r="I153" s="146"/>
      <c r="J153" s="146"/>
      <c r="K153" s="147" t="s">
        <v>225</v>
      </c>
      <c r="L153" s="145" t="s">
        <v>2633</v>
      </c>
      <c r="M153" s="148" t="n">
        <v>46297.0</v>
      </c>
      <c r="N153" s="149" t="s">
        <v>314</v>
      </c>
    </row>
    <row r="154" ht="90.0" customHeight="true">
      <c r="A154" s="145" t="s">
        <v>3126</v>
      </c>
      <c r="B154" s="146" t="s">
        <v>3127</v>
      </c>
      <c r="C154" s="146" t="s">
        <v>3128</v>
      </c>
      <c r="D154" s="146" t="s">
        <v>3129</v>
      </c>
      <c r="E154" s="146" t="s">
        <v>3119</v>
      </c>
      <c r="F154" s="146" t="s">
        <v>3007</v>
      </c>
      <c r="G154" s="146" t="s">
        <v>3130</v>
      </c>
      <c r="H154" s="146" t="s">
        <v>3102</v>
      </c>
      <c r="I154" s="146"/>
      <c r="J154" s="146"/>
      <c r="K154" s="147" t="s">
        <v>225</v>
      </c>
      <c r="L154" s="145" t="s">
        <v>2633</v>
      </c>
      <c r="M154" s="148" t="n">
        <v>46297.0</v>
      </c>
      <c r="N154" s="149" t="s">
        <v>314</v>
      </c>
    </row>
    <row r="155" ht="90.0" customHeight="true">
      <c r="A155" s="145" t="s">
        <v>3131</v>
      </c>
      <c r="B155" s="146" t="s">
        <v>3132</v>
      </c>
      <c r="C155" s="146" t="s">
        <v>3133</v>
      </c>
      <c r="D155" s="146" t="s">
        <v>3134</v>
      </c>
      <c r="E155" s="146" t="s">
        <v>3119</v>
      </c>
      <c r="F155" s="146" t="s">
        <v>3007</v>
      </c>
      <c r="G155" s="146" t="s">
        <v>3135</v>
      </c>
      <c r="H155" s="146" t="s">
        <v>3102</v>
      </c>
      <c r="I155" s="146"/>
      <c r="J155" s="146"/>
      <c r="K155" s="147" t="s">
        <v>225</v>
      </c>
      <c r="L155" s="145" t="s">
        <v>2633</v>
      </c>
      <c r="M155" s="148" t="n">
        <v>46297.0</v>
      </c>
      <c r="N155" s="149" t="s">
        <v>314</v>
      </c>
    </row>
    <row r="156" ht="90.0" customHeight="true">
      <c r="A156" s="145" t="s">
        <v>3139</v>
      </c>
      <c r="B156" s="146" t="s">
        <v>3140</v>
      </c>
      <c r="C156" s="146" t="s">
        <v>3141</v>
      </c>
      <c r="D156" s="146" t="s">
        <v>3142</v>
      </c>
      <c r="E156" s="146" t="s">
        <v>3143</v>
      </c>
      <c r="F156" s="146" t="s">
        <v>3007</v>
      </c>
      <c r="G156" s="146" t="s">
        <v>3144</v>
      </c>
      <c r="H156" s="146" t="s">
        <v>3009</v>
      </c>
      <c r="I156" s="146"/>
      <c r="J156" s="146"/>
      <c r="K156" s="147" t="s">
        <v>225</v>
      </c>
      <c r="L156" s="145" t="s">
        <v>2633</v>
      </c>
      <c r="M156" s="148" t="n">
        <v>46297.0</v>
      </c>
      <c r="N156" s="149" t="s">
        <v>276</v>
      </c>
    </row>
    <row r="157" ht="90.0" customHeight="true">
      <c r="A157" s="145" t="s">
        <v>3145</v>
      </c>
      <c r="B157" s="146" t="s">
        <v>3146</v>
      </c>
      <c r="C157" s="146" t="s">
        <v>3147</v>
      </c>
      <c r="D157" s="146" t="s">
        <v>3099</v>
      </c>
      <c r="E157" s="146" t="s">
        <v>3148</v>
      </c>
      <c r="F157" s="146" t="s">
        <v>3007</v>
      </c>
      <c r="G157" s="146" t="s">
        <v>3149</v>
      </c>
      <c r="H157" s="146" t="s">
        <v>3009</v>
      </c>
      <c r="I157" s="146"/>
      <c r="J157" s="146"/>
      <c r="K157" s="147" t="s">
        <v>225</v>
      </c>
      <c r="L157" s="145" t="s">
        <v>2633</v>
      </c>
      <c r="M157" s="148" t="n">
        <v>46297.0</v>
      </c>
      <c r="N157" s="149" t="s">
        <v>276</v>
      </c>
    </row>
    <row r="158" ht="90.0" customHeight="true">
      <c r="A158" s="145" t="s">
        <v>3150</v>
      </c>
      <c r="B158" s="146" t="s">
        <v>3151</v>
      </c>
      <c r="C158" s="146" t="s">
        <v>3152</v>
      </c>
      <c r="D158" s="146" t="s">
        <v>3099</v>
      </c>
      <c r="E158" s="146" t="s">
        <v>3153</v>
      </c>
      <c r="F158" s="146" t="s">
        <v>3007</v>
      </c>
      <c r="G158" s="146" t="s">
        <v>3154</v>
      </c>
      <c r="H158" s="146" t="s">
        <v>3155</v>
      </c>
      <c r="I158" s="146"/>
      <c r="J158" s="146"/>
      <c r="K158" s="147" t="s">
        <v>227</v>
      </c>
      <c r="L158" s="145" t="s">
        <v>2633</v>
      </c>
      <c r="M158" s="148" t="n">
        <v>46297.0</v>
      </c>
      <c r="N158" s="149" t="s">
        <v>1163</v>
      </c>
    </row>
    <row r="159" ht="90.0" customHeight="true">
      <c r="A159" s="145" t="s">
        <v>3156</v>
      </c>
      <c r="B159" s="146" t="s">
        <v>3157</v>
      </c>
      <c r="C159" s="146" t="s">
        <v>3158</v>
      </c>
      <c r="D159" s="146" t="s">
        <v>3099</v>
      </c>
      <c r="E159" s="146" t="s">
        <v>3159</v>
      </c>
      <c r="F159" s="146" t="s">
        <v>3007</v>
      </c>
      <c r="G159" s="146" t="s">
        <v>3160</v>
      </c>
      <c r="H159" s="146" t="s">
        <v>3161</v>
      </c>
      <c r="I159" s="146"/>
      <c r="J159" s="146"/>
      <c r="K159" s="147" t="s">
        <v>225</v>
      </c>
      <c r="L159" s="145" t="s">
        <v>2633</v>
      </c>
      <c r="M159" s="148" t="n">
        <v>46297.0</v>
      </c>
      <c r="N159" s="149" t="s">
        <v>276</v>
      </c>
    </row>
    <row r="160" ht="90.0" customHeight="true">
      <c r="A160" s="145" t="s">
        <v>3162</v>
      </c>
      <c r="B160" s="146" t="s">
        <v>3163</v>
      </c>
      <c r="C160" s="146" t="s">
        <v>3164</v>
      </c>
      <c r="D160" s="146" t="s">
        <v>3165</v>
      </c>
      <c r="E160" s="146" t="s">
        <v>3166</v>
      </c>
      <c r="F160" s="146" t="s">
        <v>3007</v>
      </c>
      <c r="G160" s="146" t="s">
        <v>3167</v>
      </c>
      <c r="H160" s="146" t="s">
        <v>3168</v>
      </c>
      <c r="I160" s="146"/>
      <c r="J160" s="146"/>
      <c r="K160" s="147" t="s">
        <v>225</v>
      </c>
      <c r="L160" s="145" t="s">
        <v>2633</v>
      </c>
      <c r="M160" s="148" t="n">
        <v>46297.0</v>
      </c>
      <c r="N160" s="149" t="s">
        <v>276</v>
      </c>
    </row>
    <row r="161" ht="90.0" customHeight="true">
      <c r="A161" s="145" t="s">
        <v>3169</v>
      </c>
      <c r="B161" s="146" t="s">
        <v>3170</v>
      </c>
      <c r="C161" s="146" t="s">
        <v>3171</v>
      </c>
      <c r="D161" s="146" t="s">
        <v>3172</v>
      </c>
      <c r="E161" s="146" t="s">
        <v>3173</v>
      </c>
      <c r="F161" s="146" t="s">
        <v>3174</v>
      </c>
      <c r="G161" s="146" t="s">
        <v>3175</v>
      </c>
      <c r="H161" s="146" t="s">
        <v>3176</v>
      </c>
      <c r="I161" s="146"/>
      <c r="J161" s="146"/>
      <c r="K161" s="147" t="s">
        <v>225</v>
      </c>
      <c r="L161" s="145" t="s">
        <v>2633</v>
      </c>
      <c r="M161" s="148" t="n">
        <v>46301.0</v>
      </c>
      <c r="N161" s="149" t="s">
        <v>276</v>
      </c>
    </row>
    <row r="162" ht="21.75" customHeight="true">
      <c r="A162" s="144" t="s">
        <v>2541</v>
      </c>
      <c r="B162" s="144"/>
      <c r="C162" s="144"/>
      <c r="D162" s="144"/>
      <c r="E162" s="144"/>
      <c r="F162" s="144"/>
      <c r="G162" s="144"/>
      <c r="H162" s="144"/>
      <c r="I162" s="144"/>
      <c r="J162" s="144"/>
      <c r="K162" s="144"/>
      <c r="L162" s="144"/>
      <c r="M162" s="144"/>
      <c r="N162" s="144"/>
    </row>
    <row r="163" ht="90.0" customHeight="true">
      <c r="A163" s="145" t="s">
        <v>2542</v>
      </c>
      <c r="B163" s="146" t="s">
        <v>2543</v>
      </c>
      <c r="C163" s="146" t="s">
        <v>2544</v>
      </c>
      <c r="D163" s="146" t="s">
        <v>1111</v>
      </c>
      <c r="E163" s="146" t="s">
        <v>2545</v>
      </c>
      <c r="F163" s="146" t="s">
        <v>1113</v>
      </c>
      <c r="G163" s="146" t="s">
        <v>1114</v>
      </c>
      <c r="H163" s="146" t="s">
        <v>1730</v>
      </c>
      <c r="I163" s="146"/>
      <c r="J163" s="146"/>
      <c r="K163" s="147" t="s">
        <v>225</v>
      </c>
      <c r="L163" s="145" t="s">
        <v>1341</v>
      </c>
      <c r="M163" s="148" t="s">
        <v>1913</v>
      </c>
      <c r="N163" s="149" t="s">
        <v>1121</v>
      </c>
    </row>
    <row r="164" ht="90.0" customHeight="true">
      <c r="A164" s="145" t="s">
        <v>2546</v>
      </c>
      <c r="B164" s="146" t="s">
        <v>2547</v>
      </c>
      <c r="C164" s="146" t="s">
        <v>2548</v>
      </c>
      <c r="D164" s="146" t="s">
        <v>1125</v>
      </c>
      <c r="E164" s="146" t="s">
        <v>2549</v>
      </c>
      <c r="F164" s="146" t="s">
        <v>1127</v>
      </c>
      <c r="G164" s="146" t="s">
        <v>2550</v>
      </c>
      <c r="H164" s="146" t="s">
        <v>2551</v>
      </c>
      <c r="I164" s="146"/>
      <c r="J164" s="146"/>
      <c r="K164" s="147" t="s">
        <v>225</v>
      </c>
      <c r="L164" s="145" t="s">
        <v>1928</v>
      </c>
      <c r="M164" s="148" t="s">
        <v>1929</v>
      </c>
      <c r="N164" s="149" t="s">
        <v>1121</v>
      </c>
    </row>
    <row r="165" ht="90.0" customHeight="true">
      <c r="A165" s="145" t="s">
        <v>2552</v>
      </c>
      <c r="B165" s="146" t="s">
        <v>2553</v>
      </c>
      <c r="C165" s="146" t="s">
        <v>2554</v>
      </c>
      <c r="D165" s="146" t="s">
        <v>1133</v>
      </c>
      <c r="E165" s="146" t="s">
        <v>2555</v>
      </c>
      <c r="F165" s="146" t="s">
        <v>1135</v>
      </c>
      <c r="G165" s="146" t="s">
        <v>1136</v>
      </c>
      <c r="H165" s="146" t="s">
        <v>2556</v>
      </c>
      <c r="I165" s="146"/>
      <c r="J165" s="146"/>
      <c r="K165" s="147" t="s">
        <v>225</v>
      </c>
      <c r="L165" s="145" t="s">
        <v>1341</v>
      </c>
      <c r="M165" s="148" t="s">
        <v>1913</v>
      </c>
      <c r="N165" s="149" t="s">
        <v>337</v>
      </c>
    </row>
    <row r="166" ht="90.0" customHeight="true">
      <c r="A166" s="145" t="s">
        <v>2557</v>
      </c>
      <c r="B166" s="146" t="s">
        <v>2558</v>
      </c>
      <c r="C166" s="146" t="s">
        <v>2559</v>
      </c>
      <c r="D166" s="146" t="s">
        <v>2560</v>
      </c>
      <c r="E166" s="146" t="s">
        <v>2561</v>
      </c>
      <c r="F166" s="146" t="s">
        <v>2562</v>
      </c>
      <c r="G166" s="146" t="s">
        <v>2563</v>
      </c>
      <c r="H166" s="146" t="s">
        <v>2564</v>
      </c>
      <c r="I166" s="146"/>
      <c r="J166" s="146"/>
      <c r="K166" s="147" t="s">
        <v>225</v>
      </c>
      <c r="L166" s="145" t="s">
        <v>1341</v>
      </c>
      <c r="M166" s="148" t="s">
        <v>1913</v>
      </c>
      <c r="N166" s="149" t="s">
        <v>337</v>
      </c>
    </row>
    <row r="167" ht="90.0" customHeight="true">
      <c r="A167" s="145" t="s">
        <v>2565</v>
      </c>
      <c r="B167" s="146" t="s">
        <v>1749</v>
      </c>
      <c r="C167" s="146" t="s">
        <v>2566</v>
      </c>
      <c r="D167" s="146" t="s">
        <v>2567</v>
      </c>
      <c r="E167" s="146" t="s">
        <v>2568</v>
      </c>
      <c r="F167" s="146" t="s">
        <v>2569</v>
      </c>
      <c r="G167" s="146" t="s">
        <v>1152</v>
      </c>
      <c r="H167" s="146" t="s">
        <v>2570</v>
      </c>
      <c r="I167" s="146"/>
      <c r="J167" s="146"/>
      <c r="K167" s="150" t="s">
        <v>227</v>
      </c>
      <c r="L167" s="145" t="s">
        <v>1341</v>
      </c>
      <c r="M167" s="148" t="s">
        <v>1913</v>
      </c>
      <c r="N167" s="149" t="s">
        <v>1121</v>
      </c>
    </row>
    <row r="168" ht="21.75" customHeight="true">
      <c r="A168" s="144" t="s">
        <v>2571</v>
      </c>
      <c r="B168" s="144"/>
      <c r="C168" s="144"/>
      <c r="D168" s="144"/>
      <c r="E168" s="144"/>
      <c r="F168" s="144"/>
      <c r="G168" s="144"/>
      <c r="H168" s="144"/>
      <c r="I168" s="144"/>
      <c r="J168" s="144"/>
      <c r="K168" s="144"/>
      <c r="L168" s="144"/>
      <c r="M168" s="144"/>
      <c r="N168" s="144"/>
    </row>
    <row r="169" ht="90.0" customHeight="true">
      <c r="A169" s="145" t="s">
        <v>2572</v>
      </c>
      <c r="B169" s="146" t="s">
        <v>2573</v>
      </c>
      <c r="C169" s="146" t="s">
        <v>2574</v>
      </c>
      <c r="D169" s="146" t="s">
        <v>2575</v>
      </c>
      <c r="E169" s="146" t="s">
        <v>2576</v>
      </c>
      <c r="F169" s="146" t="s">
        <v>2577</v>
      </c>
      <c r="G169" s="146" t="s">
        <v>2578</v>
      </c>
      <c r="H169" s="146" t="s">
        <v>2579</v>
      </c>
      <c r="I169" s="146"/>
      <c r="J169" s="146"/>
      <c r="K169" s="147" t="s">
        <v>225</v>
      </c>
      <c r="L169" s="145" t="s">
        <v>1341</v>
      </c>
      <c r="M169" s="148" t="s">
        <v>1913</v>
      </c>
      <c r="N169" s="149" t="s">
        <v>1195</v>
      </c>
    </row>
    <row r="170" ht="90.0" customHeight="true">
      <c r="A170" s="145" t="s">
        <v>2580</v>
      </c>
      <c r="B170" s="146" t="s">
        <v>2581</v>
      </c>
      <c r="C170" s="146" t="s">
        <v>2582</v>
      </c>
      <c r="D170" s="146" t="s">
        <v>2583</v>
      </c>
      <c r="E170" s="146" t="s">
        <v>2584</v>
      </c>
      <c r="F170" s="146" t="s">
        <v>2585</v>
      </c>
      <c r="G170" s="146" t="s">
        <v>2586</v>
      </c>
      <c r="H170" s="146" t="s">
        <v>2587</v>
      </c>
      <c r="I170" s="146"/>
      <c r="J170" s="146"/>
      <c r="K170" s="147" t="s">
        <v>225</v>
      </c>
      <c r="L170" s="145" t="s">
        <v>1341</v>
      </c>
      <c r="M170" s="148" t="s">
        <v>1913</v>
      </c>
      <c r="N170" s="149" t="s">
        <v>337</v>
      </c>
    </row>
    <row r="171" ht="90.0" customHeight="true">
      <c r="A171" s="145" t="s">
        <v>2588</v>
      </c>
      <c r="B171" s="146" t="s">
        <v>2589</v>
      </c>
      <c r="C171" s="146" t="s">
        <v>2590</v>
      </c>
      <c r="D171" s="146" t="s">
        <v>2591</v>
      </c>
      <c r="E171" s="146" t="s">
        <v>2592</v>
      </c>
      <c r="F171" s="146" t="s">
        <v>2593</v>
      </c>
      <c r="G171" s="146" t="s">
        <v>2594</v>
      </c>
      <c r="H171" s="146" t="s">
        <v>2595</v>
      </c>
      <c r="I171" s="146"/>
      <c r="J171" s="146"/>
      <c r="K171" s="150" t="s">
        <v>227</v>
      </c>
      <c r="L171" s="145" t="s">
        <v>1928</v>
      </c>
      <c r="M171" s="148" t="s">
        <v>1929</v>
      </c>
      <c r="N171" s="149" t="s">
        <v>1195</v>
      </c>
    </row>
    <row r="172" ht="90.0" customHeight="true">
      <c r="A172" s="145" t="s">
        <v>2596</v>
      </c>
      <c r="B172" s="146" t="s">
        <v>2597</v>
      </c>
      <c r="C172" s="146" t="s">
        <v>2598</v>
      </c>
      <c r="D172" s="146" t="s">
        <v>2599</v>
      </c>
      <c r="E172" s="146" t="s">
        <v>2600</v>
      </c>
      <c r="F172" s="146" t="s">
        <v>2601</v>
      </c>
      <c r="G172" s="146" t="s">
        <v>2602</v>
      </c>
      <c r="H172" s="146" t="s">
        <v>2603</v>
      </c>
      <c r="I172" s="146"/>
      <c r="J172" s="146"/>
      <c r="K172" s="150" t="s">
        <v>227</v>
      </c>
      <c r="L172" s="145" t="s">
        <v>1928</v>
      </c>
      <c r="M172" s="148" t="s">
        <v>1929</v>
      </c>
      <c r="N172" s="149" t="s">
        <v>337</v>
      </c>
    </row>
    <row r="173" ht="90.0" customHeight="true">
      <c r="A173" s="145" t="s">
        <v>2604</v>
      </c>
      <c r="B173" s="146" t="s">
        <v>2605</v>
      </c>
      <c r="C173" s="146" t="s">
        <v>2606</v>
      </c>
      <c r="D173" s="146" t="s">
        <v>2607</v>
      </c>
      <c r="E173" s="146" t="s">
        <v>2608</v>
      </c>
      <c r="F173" s="146" t="s">
        <v>2609</v>
      </c>
      <c r="G173" s="146" t="s">
        <v>2610</v>
      </c>
      <c r="H173" s="146" t="s">
        <v>2611</v>
      </c>
      <c r="I173" s="146"/>
      <c r="J173" s="146"/>
      <c r="K173" s="150" t="s">
        <v>227</v>
      </c>
      <c r="L173" s="145" t="s">
        <v>1928</v>
      </c>
      <c r="M173" s="148" t="s">
        <v>1929</v>
      </c>
      <c r="N173" s="149" t="s">
        <v>337</v>
      </c>
    </row>
    <row r="174" ht="90.0" customHeight="true">
      <c r="A174" s="145" t="s">
        <v>2612</v>
      </c>
      <c r="B174" s="146" t="s">
        <v>2613</v>
      </c>
      <c r="C174" s="146" t="s">
        <v>2614</v>
      </c>
      <c r="D174" s="146" t="s">
        <v>2615</v>
      </c>
      <c r="E174" s="146" t="s">
        <v>359</v>
      </c>
      <c r="F174" s="146" t="s">
        <v>359</v>
      </c>
      <c r="G174" s="146" t="s">
        <v>2616</v>
      </c>
      <c r="H174" s="146" t="s">
        <v>2617</v>
      </c>
      <c r="I174" s="146"/>
      <c r="J174" s="146"/>
      <c r="K174" s="151" t="s">
        <v>229</v>
      </c>
      <c r="L174" s="145" t="s">
        <v>1928</v>
      </c>
      <c r="M174" s="148" t="s">
        <v>1929</v>
      </c>
      <c r="N174" s="149" t="s">
        <v>1195</v>
      </c>
    </row>
    <row r="175" ht="90.0" customHeight="true">
      <c r="A175" s="145" t="s">
        <v>2618</v>
      </c>
      <c r="B175" s="146" t="s">
        <v>2619</v>
      </c>
      <c r="C175" s="146" t="s">
        <v>2620</v>
      </c>
      <c r="D175" s="146" t="s">
        <v>2621</v>
      </c>
      <c r="E175" s="146" t="s">
        <v>2622</v>
      </c>
      <c r="F175" s="146" t="s">
        <v>2623</v>
      </c>
      <c r="G175" s="146" t="s">
        <v>2624</v>
      </c>
      <c r="H175" s="146" t="s">
        <v>1902</v>
      </c>
      <c r="I175" s="146"/>
      <c r="J175" s="146"/>
      <c r="K175" s="150" t="s">
        <v>227</v>
      </c>
      <c r="L175" s="145" t="s">
        <v>1341</v>
      </c>
      <c r="M175" s="148" t="s">
        <v>1913</v>
      </c>
      <c r="N175" s="149" t="s">
        <v>345</v>
      </c>
    </row>
    <row r="176" ht="90.0" customHeight="true">
      <c r="A176" s="145" t="s">
        <v>2891</v>
      </c>
      <c r="B176" s="146" t="s">
        <v>2892</v>
      </c>
      <c r="C176" s="146" t="s">
        <v>2893</v>
      </c>
      <c r="D176" s="146" t="s">
        <v>2695</v>
      </c>
      <c r="E176" s="146" t="s">
        <v>2894</v>
      </c>
      <c r="F176" s="146" t="s">
        <v>2895</v>
      </c>
      <c r="G176" s="146" t="s">
        <v>2896</v>
      </c>
      <c r="H176" s="146" t="s">
        <v>2731</v>
      </c>
      <c r="I176" s="146"/>
      <c r="J176" s="146"/>
      <c r="K176" s="150" t="s">
        <v>229</v>
      </c>
      <c r="L176" s="145" t="s">
        <v>2633</v>
      </c>
      <c r="M176" s="148" t="n">
        <v>46295.0</v>
      </c>
      <c r="N176" s="149" t="s">
        <v>345</v>
      </c>
    </row>
    <row r="177" ht="90.0" customHeight="true">
      <c r="A177" s="145" t="s">
        <v>2944</v>
      </c>
      <c r="B177" s="146" t="s">
        <v>2945</v>
      </c>
      <c r="C177" s="146" t="s">
        <v>2946</v>
      </c>
      <c r="D177" s="146" t="s">
        <v>2947</v>
      </c>
      <c r="E177" s="146" t="s">
        <v>2948</v>
      </c>
      <c r="F177" s="146" t="s">
        <v>2949</v>
      </c>
      <c r="G177" s="146" t="s">
        <v>2950</v>
      </c>
      <c r="H177" s="146" t="s">
        <v>2951</v>
      </c>
      <c r="I177" s="146"/>
      <c r="J177" s="146"/>
      <c r="K177" s="150" t="s">
        <v>227</v>
      </c>
      <c r="L177" s="145" t="s">
        <v>2633</v>
      </c>
      <c r="M177" s="148" t="n">
        <v>46296.0</v>
      </c>
      <c r="N177" s="149" t="s">
        <v>345</v>
      </c>
    </row>
  </sheetData>
  <mergeCells count="368">
    <mergeCell ref="A1:N1"/>
    <mergeCell ref="A3:N3"/>
    <mergeCell ref="A19:N19"/>
    <mergeCell ref="A57:N57"/>
    <mergeCell ref="A71:N71"/>
    <mergeCell ref="A78:N78"/>
    <mergeCell ref="A84:N84"/>
    <mergeCell ref="A97:N97"/>
    <mergeCell ref="A110:N110"/>
    <mergeCell ref="A119:N119"/>
    <mergeCell ref="A127:N127"/>
    <mergeCell ref="A162:N162"/>
    <mergeCell ref="A168:N168"/>
  </mergeCells>
  <dataValidations count="3">
    <dataValidation type="list" sqref="J4:J12 J14:J39 J41:J46 J48:J51 J53:J55 J57:J67 J69:J75 J77:J82 J84:J89 J91:J102 J104:J108 J110:J116" allowBlank="true" errorStyle="stop" showErrorMessage="false">
      <formula1>"Pass,Fail"</formula1>
    </dataValidation>
    <dataValidation type="list" sqref="K4:K12 K14:K39 K41:K46 K48:K51 K53:K55 K57:K67 K69:K75 K77:K82 K84:K89 K91:K102 K104:K108 K110:K116" allowBlank="true" errorStyle="stop" showErrorMessage="false">
      <formula1>"High,Medium,Low"</formula1>
    </dataValidation>
    <dataValidation type="list" sqref="N4:N12 N14:N39 N41:N46 N48:N51 N53:N55 N57:N67 N69:N75 N77:N82 N84:N89 N91:N102 N104:N108 N110:N116" allowBlank="true" errorStyle="stop" showErrorMessage="false">
      <formula1>"Functional,Negative,Boundary,UI,Integration,Access,Localization,Regression"</formula1>
    </dataValidation>
  </dataValidations>
  <pageMargins bottom="0.75" footer="0.3" header="0.3" left="0.7" right="0.7" top="0.75"/>
</worksheet>
</file>

<file path=xl/worksheets/sheet8.xml><?xml version="1.0" encoding="utf-8"?>
<worksheet xmlns="http://schemas.openxmlformats.org/spreadsheetml/2006/main">
  <sheetPr>
    <tabColor xmlns:r="http://schemas.openxmlformats.org/officeDocument/2006/relationships" xmlns:xm="http://schemas.microsoft.com/office/excel/2006/main" xmlns:mc="http://schemas.openxmlformats.org/markup-compatibility/2006" xmlns:mv="urn:schemas-microsoft-com:mac:vml" xmlns:x14="http://schemas.microsoft.com/office/spreadsheetml/2009/9/main" xmlns:mx="http://schemas.microsoft.com/office/mac/excel/2008/main" xmlns:x15="http://schemas.microsoft.com/office/spreadsheetml/2010/11/main" xmlns:x14ac="http://schemas.microsoft.com/office/spreadsheetml/2009/9/ac" rgb="FF00FF00"/>
  </sheetPr>
  <dimension ref="A1:Z146"/>
  <sheetViews>
    <sheetView workbookViewId="0"/>
  </sheetViews>
  <sheetFormatPr defaultRowHeight="15.0"/>
  <cols>
    <col min="1" max="1" width="19.25" customWidth="true"/>
    <col min="2" max="2" width="22.87890625" customWidth="true"/>
    <col min="3" max="3" width="24.87890625" customWidth="true"/>
    <col min="4" max="4" width="22.75" customWidth="true"/>
    <col min="5" max="5" width="23.37890625" customWidth="true"/>
    <col min="6" max="6" width="20.62890625" customWidth="true"/>
    <col min="7" max="7" width="34.87890625" customWidth="true"/>
    <col min="8" max="8" width="16.12890625" customWidth="true"/>
    <col min="9" max="9" width="33.75" customWidth="true"/>
    <col min="10" max="10" width="8.0" customWidth="true"/>
    <col min="11" max="11" width="8.0" customWidth="true"/>
    <col min="12" max="12" width="8.0" customWidth="true"/>
    <col min="13" max="13" width="8.0" customWidth="true"/>
    <col min="14" max="14" width="8.0" customWidth="true"/>
    <col min="15" max="15" width="8.0" customWidth="true"/>
    <col min="16" max="16" width="8.0" customWidth="true"/>
    <col min="17" max="17" width="8.0" customWidth="true"/>
    <col min="18" max="18" width="8.0" customWidth="true"/>
    <col min="19" max="19" width="8.0" customWidth="true"/>
    <col min="20" max="20" width="8.0" customWidth="true"/>
    <col min="21" max="21" width="8.0" customWidth="true"/>
    <col min="22" max="22" width="8.0" customWidth="true"/>
    <col min="23" max="23" width="8.0" customWidth="true"/>
    <col min="24" max="24" width="8.0" customWidth="true"/>
    <col min="25" max="25" width="8.0" customWidth="true"/>
    <col min="26" max="26" width="8.0" customWidth="true"/>
  </cols>
  <sheetData>
    <row r="1" ht="19.5" customHeight="true">
      <c r="A1" s="153" t="s">
        <v>232</v>
      </c>
      <c r="B1" s="154" t="s">
        <v>233</v>
      </c>
      <c r="C1" s="155"/>
      <c r="D1" s="156">
        <f>COUNTIF(J9:J377, E1)/F1</f>
      </c>
      <c r="E1" s="157" t="s">
        <v>234</v>
      </c>
      <c r="F1" s="158">
        <f>COUNTIF(J9:J157 ,"&lt;&gt;")</f>
      </c>
      <c r="G1" s="159" t="s">
        <v>235</v>
      </c>
      <c r="H1" s="155"/>
      <c r="I1" s="155"/>
      <c r="J1" s="155"/>
      <c r="K1" s="155"/>
      <c r="L1" s="155"/>
      <c r="M1" s="155"/>
      <c r="N1" s="155"/>
      <c r="O1" s="155"/>
      <c r="P1" s="155"/>
      <c r="Q1" s="155"/>
      <c r="R1" s="155"/>
      <c r="S1" s="155"/>
      <c r="T1" s="155"/>
      <c r="U1" s="155"/>
      <c r="V1" s="155"/>
      <c r="W1" s="155"/>
      <c r="X1" s="155"/>
      <c r="Y1" s="155"/>
      <c r="Z1" s="155"/>
    </row>
    <row r="2" ht="15.0" customHeight="true">
      <c r="A2" s="160" t="s">
        <v>236</v>
      </c>
      <c r="B2" s="161" t="s">
        <v>3177</v>
      </c>
      <c r="C2" s="155"/>
      <c r="D2" s="162">
        <f>COUNTIF(J9:J377, E2)/F1</f>
      </c>
      <c r="E2" s="163" t="s">
        <v>238</v>
      </c>
      <c r="F2" s="164">
        <f>ROWS(A:A)</f>
      </c>
      <c r="G2" s="165" t="s">
        <v>239</v>
      </c>
      <c r="H2" s="155"/>
      <c r="I2" s="155"/>
      <c r="J2" s="155"/>
      <c r="K2" s="155"/>
      <c r="L2" s="155"/>
      <c r="M2" s="155"/>
      <c r="N2" s="155"/>
      <c r="O2" s="155"/>
      <c r="P2" s="155"/>
      <c r="Q2" s="155"/>
      <c r="R2" s="155"/>
      <c r="S2" s="155"/>
      <c r="T2" s="155"/>
      <c r="U2" s="155"/>
      <c r="V2" s="155"/>
      <c r="W2" s="155"/>
      <c r="X2" s="155"/>
      <c r="Y2" s="155"/>
      <c r="Z2" s="155"/>
    </row>
    <row r="3" ht="15.0" customHeight="true">
      <c r="A3" s="160" t="s">
        <v>241</v>
      </c>
      <c r="B3" s="161" t="s">
        <v>3178</v>
      </c>
      <c r="C3" s="155"/>
      <c r="D3" s="166">
        <f>COUNTIF(J9:J377, E3)/F1</f>
      </c>
      <c r="E3" s="159" t="s">
        <v>243</v>
      </c>
      <c r="F3" s="155"/>
      <c r="G3" s="155"/>
      <c r="H3" s="155"/>
      <c r="I3" s="155"/>
      <c r="J3" s="155"/>
      <c r="K3" s="155"/>
      <c r="L3" s="155"/>
      <c r="M3" s="155"/>
      <c r="N3" s="155"/>
      <c r="O3" s="155"/>
      <c r="P3" s="155"/>
      <c r="Q3" s="155"/>
      <c r="R3" s="155"/>
      <c r="S3" s="155"/>
      <c r="T3" s="155"/>
      <c r="U3" s="155"/>
      <c r="V3" s="155"/>
      <c r="W3" s="155"/>
      <c r="X3" s="155"/>
      <c r="Y3" s="155"/>
      <c r="Z3" s="155"/>
    </row>
    <row r="4" ht="15.0" customHeight="true">
      <c r="A4" s="160" t="s">
        <v>245</v>
      </c>
      <c r="B4" s="161" t="s">
        <v>246</v>
      </c>
      <c r="C4" s="155"/>
      <c r="D4" s="167">
        <f>SUM(D1:D3)</f>
      </c>
      <c r="E4" s="168" t="s">
        <v>247</v>
      </c>
      <c r="F4" s="155"/>
      <c r="G4" s="155"/>
      <c r="H4" s="155"/>
      <c r="I4" s="155"/>
      <c r="J4" s="155"/>
      <c r="K4" s="155"/>
      <c r="L4" s="155"/>
      <c r="M4" s="155"/>
      <c r="N4" s="155"/>
      <c r="O4" s="155"/>
      <c r="P4" s="155"/>
      <c r="Q4" s="155"/>
      <c r="R4" s="155"/>
      <c r="S4" s="155"/>
      <c r="T4" s="155"/>
      <c r="U4" s="155"/>
      <c r="V4" s="155"/>
      <c r="W4" s="155"/>
      <c r="X4" s="155"/>
      <c r="Y4" s="155"/>
      <c r="Z4" s="155"/>
    </row>
    <row r="5" ht="15.0" customHeight="true">
      <c r="A5" s="160" t="s">
        <v>248</v>
      </c>
      <c r="B5" s="169" t="s">
        <v>3179</v>
      </c>
      <c r="C5" s="155"/>
      <c r="D5" s="155"/>
      <c r="E5" s="155"/>
      <c r="F5" s="155"/>
      <c r="G5" s="155"/>
      <c r="H5" s="155"/>
      <c r="I5" s="155"/>
      <c r="J5" s="155"/>
      <c r="K5" s="155"/>
      <c r="L5" s="155"/>
      <c r="M5" s="155"/>
      <c r="N5" s="155"/>
      <c r="O5" s="155"/>
      <c r="P5" s="155"/>
      <c r="Q5" s="155"/>
      <c r="R5" s="155"/>
      <c r="S5" s="155"/>
      <c r="T5" s="155"/>
      <c r="U5" s="155"/>
      <c r="V5" s="155"/>
      <c r="W5" s="155"/>
      <c r="X5" s="155"/>
      <c r="Y5" s="155"/>
      <c r="Z5" s="155"/>
    </row>
    <row r="6" ht="15.0" customHeight="true">
      <c r="A6" s="160" t="s">
        <v>249</v>
      </c>
      <c r="B6" s="170"/>
      <c r="C6" s="155"/>
      <c r="D6" s="155"/>
      <c r="E6" s="155"/>
      <c r="F6" s="155"/>
      <c r="G6" s="155"/>
      <c r="H6" s="155"/>
      <c r="I6" s="155"/>
      <c r="J6" s="155"/>
      <c r="K6" s="155"/>
      <c r="L6" s="155"/>
      <c r="M6" s="155"/>
      <c r="N6" s="155"/>
      <c r="O6" s="155"/>
      <c r="P6" s="155"/>
      <c r="Q6" s="155"/>
      <c r="R6" s="155"/>
      <c r="S6" s="155"/>
      <c r="T6" s="155"/>
      <c r="U6" s="155"/>
      <c r="V6" s="155"/>
      <c r="W6" s="155"/>
      <c r="X6" s="155"/>
      <c r="Y6" s="155"/>
      <c r="Z6" s="155"/>
    </row>
    <row r="7" ht="15.0" customHeight="true">
      <c r="A7" s="155"/>
      <c r="B7" s="155"/>
      <c r="C7" s="155"/>
      <c r="D7" s="155"/>
      <c r="E7" s="155"/>
      <c r="F7" s="155"/>
      <c r="G7" s="155"/>
      <c r="H7" s="155"/>
      <c r="I7" s="155"/>
      <c r="J7" s="155"/>
      <c r="K7" s="155"/>
      <c r="L7" s="155"/>
      <c r="M7" s="155"/>
      <c r="N7" s="155"/>
      <c r="O7" s="155"/>
      <c r="P7" s="155"/>
      <c r="Q7" s="155"/>
      <c r="R7" s="155"/>
      <c r="S7" s="155"/>
      <c r="T7" s="155"/>
      <c r="U7" s="155"/>
      <c r="V7" s="155"/>
      <c r="W7" s="155"/>
      <c r="X7" s="155"/>
      <c r="Y7" s="155"/>
      <c r="Z7" s="155"/>
    </row>
    <row r="8" ht="15.0" customHeight="true">
      <c r="A8" s="171" t="s">
        <v>250</v>
      </c>
      <c r="B8" s="172"/>
      <c r="C8" s="173"/>
      <c r="D8" s="173"/>
      <c r="E8" s="173"/>
      <c r="F8" s="173"/>
      <c r="G8" s="173"/>
      <c r="H8" s="173"/>
      <c r="I8" s="173"/>
      <c r="J8" s="173"/>
      <c r="K8" s="173"/>
      <c r="L8" s="173"/>
      <c r="M8" s="173"/>
      <c r="N8" s="173"/>
      <c r="O8" s="173"/>
      <c r="P8" s="173"/>
      <c r="Q8" s="173"/>
      <c r="R8" s="173"/>
      <c r="S8" s="173"/>
      <c r="T8" s="173"/>
      <c r="U8" s="173"/>
      <c r="V8" s="173"/>
      <c r="W8" s="173"/>
      <c r="X8" s="173"/>
      <c r="Y8" s="173"/>
      <c r="Z8" s="173"/>
    </row>
    <row r="9" ht="15.0" customHeight="true">
      <c r="A9" s="174" t="s">
        <v>252</v>
      </c>
      <c r="B9" s="174" t="s">
        <v>253</v>
      </c>
      <c r="C9" s="174" t="s">
        <v>254</v>
      </c>
      <c r="D9" s="174" t="s">
        <v>255</v>
      </c>
      <c r="E9" s="174" t="s">
        <v>256</v>
      </c>
      <c r="F9" s="174" t="s">
        <v>257</v>
      </c>
      <c r="G9" s="174" t="s">
        <v>258</v>
      </c>
      <c r="H9" s="174" t="s">
        <v>259</v>
      </c>
      <c r="I9" s="174" t="s">
        <v>260</v>
      </c>
      <c r="J9" s="174" t="s">
        <v>3180</v>
      </c>
      <c r="K9" s="174" t="s">
        <v>3181</v>
      </c>
      <c r="L9" s="174" t="s">
        <v>3182</v>
      </c>
      <c r="M9" s="174" t="s">
        <v>3183</v>
      </c>
      <c r="N9" s="174" t="s">
        <v>262</v>
      </c>
      <c r="O9" s="174" t="s">
        <v>3184</v>
      </c>
      <c r="P9" s="174" t="s">
        <v>728</v>
      </c>
      <c r="Q9" s="174" t="s">
        <v>3185</v>
      </c>
      <c r="R9" s="174" t="s">
        <v>3186</v>
      </c>
      <c r="S9" s="174" t="s">
        <v>3187</v>
      </c>
      <c r="T9" s="174" t="s">
        <v>3188</v>
      </c>
      <c r="U9" s="175"/>
      <c r="V9" s="175"/>
      <c r="W9" s="175"/>
      <c r="X9" s="175"/>
      <c r="Y9" s="175"/>
      <c r="Z9" s="175"/>
    </row>
    <row r="10" ht="15.0" customHeight="true">
      <c r="A10" s="176" t="s">
        <v>3189</v>
      </c>
      <c r="B10" s="177"/>
      <c r="C10" s="177"/>
      <c r="D10" s="177"/>
      <c r="E10" s="177"/>
      <c r="F10" s="177"/>
      <c r="G10" s="177"/>
      <c r="H10" s="177"/>
      <c r="I10" s="177"/>
      <c r="J10" s="177"/>
      <c r="K10" s="178"/>
      <c r="L10" s="155"/>
      <c r="M10" s="155"/>
      <c r="N10" s="155"/>
      <c r="O10" s="155"/>
      <c r="P10" s="155"/>
      <c r="Q10" s="155"/>
      <c r="R10" s="155"/>
      <c r="S10" s="155"/>
      <c r="T10" s="155"/>
      <c r="U10" s="155"/>
      <c r="V10" s="155"/>
      <c r="W10" s="155"/>
      <c r="X10" s="155"/>
      <c r="Y10" s="155"/>
      <c r="Z10" s="155"/>
    </row>
    <row r="11" ht="15.0" customHeight="true">
      <c r="A11" s="179" t="s">
        <v>3190</v>
      </c>
      <c r="B11" s="180"/>
      <c r="C11" s="180"/>
      <c r="D11" s="180"/>
      <c r="E11" s="180"/>
      <c r="F11" s="180"/>
      <c r="G11" s="180"/>
      <c r="H11" s="180"/>
      <c r="I11" s="180"/>
      <c r="J11" s="180"/>
      <c r="K11" s="181"/>
      <c r="L11" s="155"/>
      <c r="M11" s="155"/>
      <c r="N11" s="155"/>
      <c r="O11" s="155"/>
      <c r="P11" s="155"/>
      <c r="Q11" s="155"/>
      <c r="R11" s="155"/>
      <c r="S11" s="182"/>
      <c r="T11" s="155"/>
      <c r="U11" s="155"/>
      <c r="V11" s="155"/>
      <c r="W11" s="155"/>
      <c r="X11" s="155"/>
      <c r="Y11" s="155"/>
      <c r="Z11" s="155"/>
    </row>
    <row r="12" ht="15.0" customHeight="true">
      <c r="A12" s="183" t="s">
        <v>3191</v>
      </c>
      <c r="B12" s="183" t="s">
        <v>3192</v>
      </c>
      <c r="C12" s="183" t="s">
        <v>3193</v>
      </c>
      <c r="D12" s="183" t="s">
        <v>3194</v>
      </c>
      <c r="E12" s="183" t="s">
        <v>3195</v>
      </c>
      <c r="F12" s="183" t="s">
        <v>2959</v>
      </c>
      <c r="G12" s="183" t="s">
        <v>3196</v>
      </c>
      <c r="H12" s="183" t="s">
        <v>3197</v>
      </c>
      <c r="I12" s="184" t="s">
        <v>3198</v>
      </c>
      <c r="J12" s="183" t="s">
        <v>226</v>
      </c>
      <c r="K12" s="183" t="s">
        <v>225</v>
      </c>
      <c r="L12" s="185" t="s">
        <v>3199</v>
      </c>
      <c r="M12" s="155"/>
      <c r="N12" s="155"/>
      <c r="O12" s="155"/>
      <c r="P12" s="155"/>
      <c r="Q12" s="186" t="b">
        <v>0</v>
      </c>
      <c r="R12" s="185" t="s">
        <v>226</v>
      </c>
      <c r="S12" s="187" t="n">
        <v>46293.59391203704</v>
      </c>
      <c r="T12" s="188">
        <f>HYPERLINK("http://localhost:8844/AdminKuakeAutomationReport_20260926_094330.html", "Open report")</f>
      </c>
      <c r="U12" s="155"/>
      <c r="V12" s="155"/>
      <c r="W12" s="155"/>
      <c r="X12" s="155"/>
      <c r="Y12" s="155"/>
      <c r="Z12" s="155"/>
    </row>
    <row r="13" ht="15.0" customHeight="true">
      <c r="A13" s="183" t="s">
        <v>3200</v>
      </c>
      <c r="B13" s="183" t="s">
        <v>3201</v>
      </c>
      <c r="C13" s="183" t="s">
        <v>3202</v>
      </c>
      <c r="D13" s="183" t="s">
        <v>3203</v>
      </c>
      <c r="E13" s="183" t="s">
        <v>3204</v>
      </c>
      <c r="F13" s="183" t="s">
        <v>2959</v>
      </c>
      <c r="G13" s="183" t="s">
        <v>3205</v>
      </c>
      <c r="H13" s="183" t="s">
        <v>2959</v>
      </c>
      <c r="I13" s="184" t="s">
        <v>3206</v>
      </c>
      <c r="J13" s="183" t="s">
        <v>226</v>
      </c>
      <c r="K13" s="183" t="s">
        <v>225</v>
      </c>
      <c r="L13" s="185" t="s">
        <v>3199</v>
      </c>
      <c r="M13" s="155"/>
      <c r="N13" s="155"/>
      <c r="O13" s="155"/>
      <c r="P13" s="155"/>
      <c r="Q13" s="186" t="b">
        <v>0</v>
      </c>
      <c r="R13" s="185" t="s">
        <v>226</v>
      </c>
      <c r="S13" s="187" t="n">
        <v>46293.59239583334</v>
      </c>
      <c r="T13" s="188">
        <f>HYPERLINK("http://localhost:8844/AdminKuakeAutomationReport_20260928_083817.html", "Open report")</f>
      </c>
      <c r="U13" s="155"/>
      <c r="V13" s="155"/>
      <c r="W13" s="155"/>
      <c r="X13" s="155"/>
      <c r="Y13" s="155"/>
      <c r="Z13" s="155"/>
    </row>
    <row r="14" ht="15.0" customHeight="true">
      <c r="A14" s="183" t="s">
        <v>3207</v>
      </c>
      <c r="B14" s="183" t="s">
        <v>3208</v>
      </c>
      <c r="C14" s="183" t="s">
        <v>3209</v>
      </c>
      <c r="D14" s="183" t="s">
        <v>3210</v>
      </c>
      <c r="E14" s="183" t="s">
        <v>3211</v>
      </c>
      <c r="F14" s="183" t="s">
        <v>3212</v>
      </c>
      <c r="G14" s="183" t="s">
        <v>3213</v>
      </c>
      <c r="H14" s="183" t="s">
        <v>2959</v>
      </c>
      <c r="I14" s="189"/>
      <c r="J14" s="189"/>
      <c r="K14" s="183" t="s">
        <v>229</v>
      </c>
      <c r="L14" s="155"/>
      <c r="M14" s="155"/>
      <c r="N14" s="155"/>
      <c r="O14" s="155"/>
      <c r="P14" s="155"/>
      <c r="Q14" s="155"/>
      <c r="R14" s="155"/>
      <c r="S14" s="155"/>
      <c r="T14" s="155"/>
      <c r="U14" s="155"/>
      <c r="V14" s="155"/>
      <c r="W14" s="155"/>
      <c r="X14" s="155"/>
      <c r="Y14" s="155"/>
      <c r="Z14" s="155"/>
    </row>
    <row r="15" ht="15.0" customHeight="true">
      <c r="A15" s="183" t="s">
        <v>3214</v>
      </c>
      <c r="B15" s="183" t="s">
        <v>3215</v>
      </c>
      <c r="C15" s="183" t="s">
        <v>3216</v>
      </c>
      <c r="D15" s="183" t="s">
        <v>3194</v>
      </c>
      <c r="E15" s="183" t="s">
        <v>3217</v>
      </c>
      <c r="F15" s="183" t="s">
        <v>3218</v>
      </c>
      <c r="G15" s="183" t="s">
        <v>3219</v>
      </c>
      <c r="H15" s="183" t="s">
        <v>2959</v>
      </c>
      <c r="I15" s="184" t="s">
        <v>3220</v>
      </c>
      <c r="J15" s="183" t="s">
        <v>226</v>
      </c>
      <c r="K15" s="183" t="s">
        <v>225</v>
      </c>
      <c r="L15" s="185" t="s">
        <v>3199</v>
      </c>
      <c r="M15" s="155"/>
      <c r="N15" s="155"/>
      <c r="O15" s="155"/>
      <c r="P15" s="155"/>
      <c r="Q15" s="186" t="b">
        <v>0</v>
      </c>
      <c r="R15" s="185" t="s">
        <v>226</v>
      </c>
      <c r="S15" s="187" t="n">
        <v>46293.593773148146</v>
      </c>
      <c r="T15" s="188">
        <f>HYPERLINK("http://localhost:8844/AdminKuakeAutomationReport_20260926_094330.html","Open report")</f>
      </c>
      <c r="U15" s="155"/>
      <c r="V15" s="155"/>
      <c r="W15" s="155"/>
      <c r="X15" s="155"/>
      <c r="Y15" s="155"/>
      <c r="Z15" s="155"/>
    </row>
    <row r="16" ht="15.0" customHeight="true">
      <c r="A16" s="183" t="s">
        <v>3221</v>
      </c>
      <c r="B16" s="183" t="s">
        <v>3222</v>
      </c>
      <c r="C16" s="183" t="s">
        <v>3223</v>
      </c>
      <c r="D16" s="183" t="s">
        <v>3224</v>
      </c>
      <c r="E16" s="183" t="s">
        <v>3225</v>
      </c>
      <c r="F16" s="183" t="s">
        <v>3226</v>
      </c>
      <c r="G16" s="183" t="s">
        <v>3227</v>
      </c>
      <c r="H16" s="183" t="s">
        <v>2959</v>
      </c>
      <c r="I16" s="184" t="s">
        <v>3228</v>
      </c>
      <c r="J16" s="183" t="s">
        <v>226</v>
      </c>
      <c r="K16" s="183" t="s">
        <v>227</v>
      </c>
      <c r="L16" s="185" t="s">
        <v>3199</v>
      </c>
      <c r="M16" s="155"/>
      <c r="N16" s="155"/>
      <c r="O16" s="155"/>
      <c r="P16" s="155"/>
      <c r="Q16" s="186" t="b">
        <v>0</v>
      </c>
      <c r="R16" s="185" t="s">
        <v>226</v>
      </c>
      <c r="S16" s="187" t="n">
        <v>46293.527280092596</v>
      </c>
      <c r="T16" s="188">
        <f>HYPERLINK("http://localhost:8844/AdminKuakeAutomationReport_20260926_094330.html","Open report")</f>
      </c>
      <c r="U16" s="155"/>
      <c r="V16" s="155"/>
      <c r="W16" s="155"/>
      <c r="X16" s="155"/>
      <c r="Y16" s="155"/>
      <c r="Z16" s="155"/>
    </row>
    <row r="17" ht="15.0" customHeight="true">
      <c r="A17" s="183" t="s">
        <v>3229</v>
      </c>
      <c r="B17" s="183" t="s">
        <v>3230</v>
      </c>
      <c r="C17" s="183" t="s">
        <v>3231</v>
      </c>
      <c r="D17" s="183" t="s">
        <v>3232</v>
      </c>
      <c r="E17" s="183" t="s">
        <v>3233</v>
      </c>
      <c r="F17" s="183" t="s">
        <v>3234</v>
      </c>
      <c r="G17" s="183" t="s">
        <v>3235</v>
      </c>
      <c r="H17" s="183" t="s">
        <v>2959</v>
      </c>
      <c r="I17" s="184" t="s">
        <v>3236</v>
      </c>
      <c r="J17" s="183" t="s">
        <v>226</v>
      </c>
      <c r="K17" s="183" t="s">
        <v>227</v>
      </c>
      <c r="L17" s="185" t="s">
        <v>3199</v>
      </c>
      <c r="M17" s="155"/>
      <c r="N17" s="155"/>
      <c r="O17" s="155"/>
      <c r="P17" s="155"/>
      <c r="Q17" s="186" t="b">
        <v>0</v>
      </c>
      <c r="R17" s="185" t="s">
        <v>226</v>
      </c>
      <c r="S17" s="187" t="n">
        <v>46293.61362268519</v>
      </c>
      <c r="T17" s="188">
        <f>HYPERLINK("http://localhost:8844/AdminKuakeAutomationReport_20260926_094330.html","Open report")</f>
      </c>
      <c r="U17" s="155"/>
      <c r="V17" s="155"/>
      <c r="W17" s="155"/>
      <c r="X17" s="155"/>
      <c r="Y17" s="155"/>
      <c r="Z17" s="155"/>
    </row>
    <row r="18" ht="15.0" customHeight="true">
      <c r="A18" s="183" t="s">
        <v>3237</v>
      </c>
      <c r="B18" s="183" t="s">
        <v>3238</v>
      </c>
      <c r="C18" s="183" t="s">
        <v>3239</v>
      </c>
      <c r="D18" s="183" t="s">
        <v>3240</v>
      </c>
      <c r="E18" s="183" t="s">
        <v>3241</v>
      </c>
      <c r="F18" s="183" t="s">
        <v>3242</v>
      </c>
      <c r="G18" s="183" t="s">
        <v>3243</v>
      </c>
      <c r="H18" s="183" t="s">
        <v>2959</v>
      </c>
      <c r="I18" s="184" t="s">
        <v>3244</v>
      </c>
      <c r="J18" s="183" t="s">
        <v>226</v>
      </c>
      <c r="K18" s="183" t="s">
        <v>229</v>
      </c>
      <c r="L18" s="185" t="s">
        <v>3199</v>
      </c>
      <c r="M18" s="155"/>
      <c r="N18" s="155"/>
      <c r="O18" s="155"/>
      <c r="P18" s="155"/>
      <c r="Q18" s="186" t="b">
        <v>0</v>
      </c>
      <c r="R18" s="185" t="s">
        <v>226</v>
      </c>
      <c r="S18" s="187" t="n">
        <v>46293.61439814815</v>
      </c>
      <c r="T18" s="188">
        <f>HYPERLINK("http://localhost:8844/AdminKuakeAutomationReport_20260928_112337.html", "Open report")</f>
      </c>
      <c r="U18" s="155"/>
      <c r="V18" s="155"/>
      <c r="W18" s="155"/>
      <c r="X18" s="155"/>
      <c r="Y18" s="155"/>
      <c r="Z18" s="155"/>
    </row>
    <row r="19" ht="15.0" customHeight="true">
      <c r="A19" s="183" t="s">
        <v>3245</v>
      </c>
      <c r="B19" s="183" t="s">
        <v>3246</v>
      </c>
      <c r="C19" s="183" t="s">
        <v>3247</v>
      </c>
      <c r="D19" s="183" t="s">
        <v>3248</v>
      </c>
      <c r="E19" s="183" t="s">
        <v>3249</v>
      </c>
      <c r="F19" s="183" t="s">
        <v>2959</v>
      </c>
      <c r="G19" s="183" t="s">
        <v>3250</v>
      </c>
      <c r="H19" s="183" t="s">
        <v>2959</v>
      </c>
      <c r="I19" s="184" t="s">
        <v>3251</v>
      </c>
      <c r="J19" s="183" t="s">
        <v>226</v>
      </c>
      <c r="K19" s="183" t="s">
        <v>227</v>
      </c>
      <c r="L19" s="185" t="s">
        <v>3199</v>
      </c>
      <c r="M19" s="185" t="s">
        <v>3252</v>
      </c>
      <c r="N19" s="155"/>
      <c r="O19" s="155"/>
      <c r="P19" s="155"/>
      <c r="Q19" s="186" t="b">
        <v>0</v>
      </c>
      <c r="R19" s="185" t="s">
        <v>226</v>
      </c>
      <c r="S19" s="187" t="n">
        <v>46293.617060185185</v>
      </c>
      <c r="T19" s="188">
        <f>HYPERLINK("http://localhost:8844/AdminKuakeAutomationReport_20260928_113537.html", "Open report")</f>
      </c>
      <c r="U19" s="155"/>
      <c r="V19" s="155"/>
      <c r="W19" s="155"/>
      <c r="X19" s="155"/>
      <c r="Y19" s="155"/>
      <c r="Z19" s="155"/>
    </row>
    <row r="20" ht="15.0" customHeight="true">
      <c r="A20" s="183" t="s">
        <v>3253</v>
      </c>
      <c r="B20" s="183" t="s">
        <v>3254</v>
      </c>
      <c r="C20" s="183" t="s">
        <v>3255</v>
      </c>
      <c r="D20" s="183" t="s">
        <v>3256</v>
      </c>
      <c r="E20" s="183" t="s">
        <v>3257</v>
      </c>
      <c r="F20" s="190" t="s">
        <v>3258</v>
      </c>
      <c r="G20" s="183" t="s">
        <v>3259</v>
      </c>
      <c r="H20" s="183" t="s">
        <v>2959</v>
      </c>
      <c r="I20" s="184" t="s">
        <v>3260</v>
      </c>
      <c r="J20" s="183" t="s">
        <v>226</v>
      </c>
      <c r="K20" s="183" t="s">
        <v>227</v>
      </c>
      <c r="L20" s="185" t="s">
        <v>3199</v>
      </c>
      <c r="M20" s="155"/>
      <c r="N20" s="155"/>
      <c r="O20" s="155"/>
      <c r="P20" s="155"/>
      <c r="Q20" s="186" t="b">
        <v>0</v>
      </c>
      <c r="R20" s="185" t="s">
        <v>226</v>
      </c>
      <c r="S20" s="187" t="n">
        <v>46293.5903587963</v>
      </c>
      <c r="T20" s="188">
        <f>HYPERLINK("http://localhost:8844/AdminKuakeAutomationReport_20260926_094330.html","Open report")</f>
      </c>
      <c r="U20" s="155"/>
      <c r="V20" s="155"/>
      <c r="W20" s="155"/>
      <c r="X20" s="155"/>
      <c r="Y20" s="155"/>
      <c r="Z20" s="155"/>
    </row>
    <row r="21" ht="15.0" customHeight="true">
      <c r="A21" s="183" t="s">
        <v>3261</v>
      </c>
      <c r="B21" s="183" t="s">
        <v>3262</v>
      </c>
      <c r="C21" s="183" t="s">
        <v>3263</v>
      </c>
      <c r="D21" s="183" t="s">
        <v>3264</v>
      </c>
      <c r="E21" s="183" t="s">
        <v>3265</v>
      </c>
      <c r="F21" s="183" t="s">
        <v>3266</v>
      </c>
      <c r="G21" s="183" t="s">
        <v>3267</v>
      </c>
      <c r="H21" s="183" t="s">
        <v>2959</v>
      </c>
      <c r="I21" s="184" t="s">
        <v>3268</v>
      </c>
      <c r="J21" s="183" t="s">
        <v>226</v>
      </c>
      <c r="K21" s="183" t="s">
        <v>227</v>
      </c>
      <c r="L21" s="185" t="s">
        <v>3199</v>
      </c>
      <c r="M21" s="155"/>
      <c r="N21" s="155"/>
      <c r="O21" s="155"/>
      <c r="P21" s="155"/>
      <c r="Q21" s="186" t="b">
        <v>0</v>
      </c>
      <c r="R21" s="185" t="s">
        <v>226</v>
      </c>
      <c r="S21" s="187" t="n">
        <v>46293.5896875</v>
      </c>
      <c r="T21" s="188">
        <f>HYPERLINK("http://localhost:8844/AdminKuakeAutomationReport_20260926_094330.html","Open report")</f>
      </c>
      <c r="U21" s="155"/>
      <c r="V21" s="155"/>
      <c r="W21" s="155"/>
      <c r="X21" s="155"/>
      <c r="Y21" s="155"/>
      <c r="Z21" s="155"/>
    </row>
    <row r="22" ht="15.0" customHeight="true">
      <c r="A22" s="183" t="s">
        <v>3269</v>
      </c>
      <c r="B22" s="183" t="s">
        <v>3270</v>
      </c>
      <c r="C22" s="183" t="s">
        <v>3271</v>
      </c>
      <c r="D22" s="183" t="s">
        <v>3194</v>
      </c>
      <c r="E22" s="183" t="s">
        <v>3272</v>
      </c>
      <c r="F22" s="183" t="s">
        <v>2959</v>
      </c>
      <c r="G22" s="183" t="s">
        <v>3273</v>
      </c>
      <c r="H22" s="183" t="s">
        <v>2959</v>
      </c>
      <c r="I22" s="184" t="s">
        <v>3274</v>
      </c>
      <c r="J22" s="183" t="s">
        <v>226</v>
      </c>
      <c r="K22" s="183" t="s">
        <v>229</v>
      </c>
      <c r="L22" s="185" t="s">
        <v>3199</v>
      </c>
      <c r="M22" s="155"/>
      <c r="N22" s="155"/>
      <c r="O22" s="155"/>
      <c r="P22" s="155"/>
      <c r="Q22" s="186" t="b">
        <v>0</v>
      </c>
      <c r="R22" s="185" t="s">
        <v>226</v>
      </c>
      <c r="S22" s="187" t="n">
        <v>46293.57208333333</v>
      </c>
      <c r="T22" s="188">
        <f>HYPERLINK("http://localhost:8844/AdminKuakeAutomationReport_20260926_094330.html","Open report")</f>
      </c>
      <c r="U22" s="155"/>
      <c r="V22" s="155"/>
      <c r="W22" s="155"/>
      <c r="X22" s="155"/>
      <c r="Y22" s="155"/>
      <c r="Z22" s="155"/>
    </row>
    <row r="23" ht="15.0" customHeight="true">
      <c r="A23" s="183" t="s">
        <v>3275</v>
      </c>
      <c r="B23" s="183" t="s">
        <v>3276</v>
      </c>
      <c r="C23" s="183" t="s">
        <v>3277</v>
      </c>
      <c r="D23" s="183" t="s">
        <v>3194</v>
      </c>
      <c r="E23" s="183" t="s">
        <v>3278</v>
      </c>
      <c r="F23" s="183" t="s">
        <v>2959</v>
      </c>
      <c r="G23" s="183" t="s">
        <v>3279</v>
      </c>
      <c r="H23" s="183" t="s">
        <v>2959</v>
      </c>
      <c r="I23" s="184" t="s">
        <v>3280</v>
      </c>
      <c r="J23" s="183" t="s">
        <v>226</v>
      </c>
      <c r="K23" s="183" t="s">
        <v>229</v>
      </c>
      <c r="L23" s="185" t="s">
        <v>3199</v>
      </c>
      <c r="M23" s="155"/>
      <c r="N23" s="155"/>
      <c r="O23" s="155"/>
      <c r="P23" s="155"/>
      <c r="Q23" s="186" t="b">
        <v>0</v>
      </c>
      <c r="R23" s="185" t="s">
        <v>226</v>
      </c>
      <c r="S23" s="187" t="n">
        <v>46293.61918981482</v>
      </c>
      <c r="T23" s="188">
        <f>HYPERLINK("http://localhost:8844/AdminKuakeAutomationReport_20260926_094330.html","Open report")</f>
      </c>
      <c r="U23" s="155"/>
      <c r="V23" s="155"/>
      <c r="W23" s="155"/>
      <c r="X23" s="155"/>
      <c r="Y23" s="155"/>
      <c r="Z23" s="155"/>
    </row>
    <row r="24" ht="15.0" customHeight="true">
      <c r="A24" s="183" t="s">
        <v>3281</v>
      </c>
      <c r="B24" s="183" t="s">
        <v>3282</v>
      </c>
      <c r="C24" s="183" t="s">
        <v>3283</v>
      </c>
      <c r="D24" s="183" t="s">
        <v>3210</v>
      </c>
      <c r="E24" s="183" t="s">
        <v>3284</v>
      </c>
      <c r="F24" s="183" t="s">
        <v>2959</v>
      </c>
      <c r="G24" s="183" t="s">
        <v>3285</v>
      </c>
      <c r="H24" s="183" t="s">
        <v>2959</v>
      </c>
      <c r="I24" s="183" t="s">
        <v>3285</v>
      </c>
      <c r="J24" s="183" t="s">
        <v>226</v>
      </c>
      <c r="K24" s="183" t="s">
        <v>229</v>
      </c>
      <c r="L24" s="185" t="s">
        <v>3199</v>
      </c>
      <c r="M24" s="155"/>
      <c r="N24" s="155"/>
      <c r="O24" s="155"/>
      <c r="P24" s="155"/>
      <c r="Q24" s="186" t="b">
        <v>0</v>
      </c>
      <c r="R24" s="185" t="s">
        <v>228</v>
      </c>
      <c r="S24" s="187" t="n">
        <v>46293.60108796296</v>
      </c>
      <c r="T24" s="188">
        <f>HYPERLINK("http://localhost:8844/AdminKuakeAutomationReport_20260928_122307.html", "Open report")</f>
      </c>
      <c r="U24" s="155"/>
      <c r="V24" s="155"/>
      <c r="W24" s="155"/>
      <c r="X24" s="155"/>
      <c r="Y24" s="155"/>
      <c r="Z24" s="155"/>
    </row>
    <row r="25" ht="15.0" customHeight="true">
      <c r="A25" s="183" t="s">
        <v>3286</v>
      </c>
      <c r="B25" s="183" t="s">
        <v>3287</v>
      </c>
      <c r="C25" s="183" t="s">
        <v>3288</v>
      </c>
      <c r="D25" s="183" t="s">
        <v>3194</v>
      </c>
      <c r="E25" s="183" t="s">
        <v>3289</v>
      </c>
      <c r="F25" s="183" t="s">
        <v>3290</v>
      </c>
      <c r="G25" s="183" t="s">
        <v>3291</v>
      </c>
      <c r="H25" s="183" t="s">
        <v>2959</v>
      </c>
      <c r="I25" s="184" t="s">
        <v>3292</v>
      </c>
      <c r="J25" s="183" t="s">
        <v>226</v>
      </c>
      <c r="K25" s="183" t="s">
        <v>225</v>
      </c>
      <c r="L25" s="185" t="s">
        <v>3199</v>
      </c>
      <c r="M25" s="155"/>
      <c r="N25" s="155"/>
      <c r="O25" s="155"/>
      <c r="P25" s="155"/>
      <c r="Q25" s="186" t="b">
        <v>0</v>
      </c>
      <c r="R25" s="185" t="s">
        <v>226</v>
      </c>
      <c r="S25" s="187" t="n">
        <v>46293.574525462966</v>
      </c>
      <c r="T25" s="188">
        <f>HYPERLINK("http://localhost:8844/AdminKuakeAutomationReport_20260926_094330.html","Open report")</f>
      </c>
      <c r="U25" s="155"/>
      <c r="V25" s="155"/>
      <c r="W25" s="155"/>
      <c r="X25" s="155"/>
      <c r="Y25" s="155"/>
      <c r="Z25" s="155"/>
    </row>
    <row r="26" ht="15.0" customHeight="true">
      <c r="A26" s="183" t="s">
        <v>3293</v>
      </c>
      <c r="B26" s="183" t="s">
        <v>3294</v>
      </c>
      <c r="C26" s="183" t="s">
        <v>3295</v>
      </c>
      <c r="D26" s="183" t="s">
        <v>3194</v>
      </c>
      <c r="E26" s="183" t="s">
        <v>3296</v>
      </c>
      <c r="F26" s="183" t="s">
        <v>2959</v>
      </c>
      <c r="G26" s="183" t="s">
        <v>3297</v>
      </c>
      <c r="H26" s="183" t="s">
        <v>2959</v>
      </c>
      <c r="I26" s="184" t="s">
        <v>3298</v>
      </c>
      <c r="J26" s="183" t="s">
        <v>226</v>
      </c>
      <c r="K26" s="183" t="s">
        <v>227</v>
      </c>
      <c r="L26" s="185" t="s">
        <v>3199</v>
      </c>
      <c r="M26" s="155"/>
      <c r="N26" s="155"/>
      <c r="O26" s="155"/>
      <c r="P26" s="155"/>
      <c r="Q26" s="186" t="b">
        <v>0</v>
      </c>
      <c r="R26" s="185" t="s">
        <v>226</v>
      </c>
      <c r="S26" s="187" t="n">
        <v>46293.51693287037</v>
      </c>
      <c r="T26" s="188">
        <f>HYPERLINK("http://localhost:8844/AdminKuakeAutomationReport_20260926_094330.html","Open report")</f>
      </c>
      <c r="U26" s="155"/>
      <c r="V26" s="155"/>
      <c r="W26" s="155"/>
      <c r="X26" s="155"/>
      <c r="Y26" s="155"/>
      <c r="Z26" s="155"/>
    </row>
    <row r="27" ht="15.0" customHeight="true">
      <c r="A27" s="183" t="s">
        <v>3299</v>
      </c>
      <c r="B27" s="183" t="s">
        <v>3300</v>
      </c>
      <c r="C27" s="183" t="s">
        <v>3301</v>
      </c>
      <c r="D27" s="183" t="s">
        <v>3302</v>
      </c>
      <c r="E27" s="183" t="s">
        <v>3303</v>
      </c>
      <c r="F27" s="183" t="s">
        <v>2959</v>
      </c>
      <c r="G27" s="183" t="s">
        <v>3304</v>
      </c>
      <c r="H27" s="183" t="s">
        <v>3305</v>
      </c>
      <c r="I27" s="184" t="s">
        <v>3306</v>
      </c>
      <c r="J27" s="183" t="s">
        <v>226</v>
      </c>
      <c r="K27" s="183" t="s">
        <v>225</v>
      </c>
      <c r="L27" s="185" t="s">
        <v>3199</v>
      </c>
      <c r="M27" s="155"/>
      <c r="N27" s="155"/>
      <c r="O27" s="155"/>
      <c r="P27" s="155"/>
      <c r="Q27" s="186" t="b">
        <v>0</v>
      </c>
      <c r="R27" s="185" t="s">
        <v>226</v>
      </c>
      <c r="S27" s="187" t="n">
        <v>46293.575162037036</v>
      </c>
      <c r="T27" s="188">
        <f>HYPERLINK("http://localhost:8844/AdminKuakeAutomationReport_20260926_094330.html","Open report")</f>
      </c>
      <c r="U27" s="155"/>
      <c r="V27" s="155"/>
      <c r="W27" s="155"/>
      <c r="X27" s="155"/>
      <c r="Y27" s="155"/>
      <c r="Z27" s="155"/>
    </row>
    <row r="28" ht="15.0" customHeight="true">
      <c r="A28" s="191" t="s">
        <v>3307</v>
      </c>
      <c r="B28" s="192"/>
      <c r="C28" s="192"/>
      <c r="D28" s="192"/>
      <c r="E28" s="192"/>
      <c r="F28" s="192"/>
      <c r="G28" s="192"/>
      <c r="H28" s="192"/>
      <c r="I28" s="192"/>
      <c r="J28" s="192"/>
      <c r="K28" s="193"/>
      <c r="L28" s="155"/>
      <c r="M28" s="155"/>
      <c r="N28" s="155"/>
      <c r="O28" s="155"/>
      <c r="P28" s="155"/>
      <c r="Q28" s="155"/>
      <c r="R28" s="155"/>
      <c r="S28" s="155"/>
      <c r="T28" s="155"/>
      <c r="U28" s="155"/>
      <c r="V28" s="155"/>
      <c r="W28" s="155"/>
      <c r="X28" s="155"/>
      <c r="Y28" s="155"/>
      <c r="Z28" s="155"/>
    </row>
    <row r="29" ht="15.0" customHeight="true">
      <c r="A29" s="183" t="s">
        <v>3308</v>
      </c>
      <c r="B29" s="183" t="s">
        <v>3309</v>
      </c>
      <c r="C29" s="183" t="s">
        <v>3310</v>
      </c>
      <c r="D29" s="183" t="s">
        <v>3194</v>
      </c>
      <c r="E29" s="183" t="s">
        <v>3311</v>
      </c>
      <c r="F29" s="183" t="s">
        <v>3312</v>
      </c>
      <c r="G29" s="183" t="s">
        <v>3313</v>
      </c>
      <c r="H29" s="183" t="s">
        <v>2959</v>
      </c>
      <c r="I29" s="184" t="s">
        <v>3314</v>
      </c>
      <c r="J29" s="183" t="s">
        <v>226</v>
      </c>
      <c r="K29" s="183" t="s">
        <v>229</v>
      </c>
      <c r="L29" s="185" t="s">
        <v>3199</v>
      </c>
      <c r="M29" s="155"/>
      <c r="N29" s="155"/>
      <c r="O29" s="155"/>
      <c r="P29" s="155"/>
      <c r="Q29" s="186" t="b">
        <v>0</v>
      </c>
      <c r="R29" s="185" t="s">
        <v>226</v>
      </c>
      <c r="S29" s="187" t="n">
        <v>46293.61376157407</v>
      </c>
      <c r="T29" s="188">
        <f>HYPERLINK("http://localhost:8844/AdminKuakeAutomationReport_20260926_094330.html","Open report")</f>
      </c>
      <c r="U29" s="155"/>
      <c r="V29" s="155"/>
      <c r="W29" s="155"/>
      <c r="X29" s="155"/>
      <c r="Y29" s="155"/>
      <c r="Z29" s="155"/>
    </row>
    <row r="30" ht="15.0" customHeight="true">
      <c r="A30" s="183" t="s">
        <v>3315</v>
      </c>
      <c r="B30" s="183" t="s">
        <v>3316</v>
      </c>
      <c r="C30" s="183" t="s">
        <v>3317</v>
      </c>
      <c r="D30" s="183" t="s">
        <v>3194</v>
      </c>
      <c r="E30" s="183" t="s">
        <v>3318</v>
      </c>
      <c r="F30" s="183" t="s">
        <v>3319</v>
      </c>
      <c r="G30" s="183" t="s">
        <v>3320</v>
      </c>
      <c r="H30" s="183" t="s">
        <v>2959</v>
      </c>
      <c r="I30" s="184" t="s">
        <v>3321</v>
      </c>
      <c r="J30" s="183" t="s">
        <v>226</v>
      </c>
      <c r="K30" s="183" t="s">
        <v>227</v>
      </c>
      <c r="L30" s="185" t="s">
        <v>3199</v>
      </c>
      <c r="M30" s="155"/>
      <c r="N30" s="155"/>
      <c r="O30" s="155"/>
      <c r="P30" s="155"/>
      <c r="Q30" s="186" t="b">
        <v>0</v>
      </c>
      <c r="R30" s="185" t="s">
        <v>226</v>
      </c>
      <c r="S30" s="187" t="n">
        <v>46293.614594907405</v>
      </c>
      <c r="T30" s="188">
        <f>HYPERLINK("http://localhost:8844/AdminKuakeAutomationReport_20260926_094330.html","Open report")</f>
      </c>
      <c r="U30" s="155"/>
      <c r="V30" s="155"/>
      <c r="W30" s="155"/>
      <c r="X30" s="155"/>
      <c r="Y30" s="155"/>
      <c r="Z30" s="155"/>
    </row>
    <row r="31" ht="15.0" customHeight="true">
      <c r="A31" s="183" t="s">
        <v>3322</v>
      </c>
      <c r="B31" s="183" t="s">
        <v>3323</v>
      </c>
      <c r="C31" s="183" t="s">
        <v>3324</v>
      </c>
      <c r="D31" s="183" t="s">
        <v>3325</v>
      </c>
      <c r="E31" s="183" t="s">
        <v>3326</v>
      </c>
      <c r="F31" s="183" t="s">
        <v>2959</v>
      </c>
      <c r="G31" s="183" t="s">
        <v>3327</v>
      </c>
      <c r="H31" s="183" t="s">
        <v>2959</v>
      </c>
      <c r="I31" s="184" t="s">
        <v>3328</v>
      </c>
      <c r="J31" s="183" t="s">
        <v>226</v>
      </c>
      <c r="K31" s="183" t="s">
        <v>229</v>
      </c>
      <c r="L31" s="185" t="s">
        <v>3199</v>
      </c>
      <c r="M31" s="155"/>
      <c r="N31" s="155"/>
      <c r="O31" s="155"/>
      <c r="P31" s="155"/>
      <c r="Q31" s="186" t="b">
        <v>0</v>
      </c>
      <c r="R31" s="185" t="s">
        <v>226</v>
      </c>
      <c r="S31" s="187" t="n">
        <v>46293.617685185185</v>
      </c>
      <c r="T31" s="188">
        <f>HYPERLINK("http://localhost:8844/AdminKuakeAutomationReport_20260928_111125.html", "Open report")</f>
      </c>
      <c r="U31" s="155"/>
      <c r="V31" s="155"/>
      <c r="W31" s="155"/>
      <c r="X31" s="155"/>
      <c r="Y31" s="155"/>
      <c r="Z31" s="155"/>
    </row>
    <row r="32" ht="15.0" customHeight="true">
      <c r="A32" s="183" t="s">
        <v>3329</v>
      </c>
      <c r="B32" s="183" t="s">
        <v>3330</v>
      </c>
      <c r="C32" s="183" t="s">
        <v>3331</v>
      </c>
      <c r="D32" s="183" t="s">
        <v>3194</v>
      </c>
      <c r="E32" s="183" t="s">
        <v>3332</v>
      </c>
      <c r="F32" s="183" t="s">
        <v>2959</v>
      </c>
      <c r="G32" s="183" t="s">
        <v>3333</v>
      </c>
      <c r="H32" s="183" t="s">
        <v>3334</v>
      </c>
      <c r="I32" s="184" t="s">
        <v>3335</v>
      </c>
      <c r="J32" s="183" t="s">
        <v>226</v>
      </c>
      <c r="K32" s="183" t="s">
        <v>225</v>
      </c>
      <c r="L32" s="185" t="s">
        <v>3199</v>
      </c>
      <c r="M32" s="155"/>
      <c r="N32" s="155"/>
      <c r="O32" s="155"/>
      <c r="P32" s="155"/>
      <c r="Q32" s="186" t="b">
        <v>0</v>
      </c>
      <c r="R32" s="185" t="s">
        <v>226</v>
      </c>
      <c r="S32" s="187" t="n">
        <v>46293.57572916667</v>
      </c>
      <c r="T32" s="188">
        <f>HYPERLINK("http://localhost:8844/AdminKuakeAutomationReport_20260926_094330.html","Open report")</f>
      </c>
      <c r="U32" s="155"/>
      <c r="V32" s="155"/>
      <c r="W32" s="155"/>
      <c r="X32" s="155"/>
      <c r="Y32" s="155"/>
      <c r="Z32" s="155"/>
    </row>
    <row r="33" ht="15.0" customHeight="true">
      <c r="A33" s="183" t="s">
        <v>3336</v>
      </c>
      <c r="B33" s="183" t="s">
        <v>3337</v>
      </c>
      <c r="C33" s="183" t="s">
        <v>3338</v>
      </c>
      <c r="D33" s="183" t="s">
        <v>3194</v>
      </c>
      <c r="E33" s="183" t="s">
        <v>3339</v>
      </c>
      <c r="F33" s="183" t="s">
        <v>2959</v>
      </c>
      <c r="G33" s="183" t="s">
        <v>3340</v>
      </c>
      <c r="H33" s="183" t="s">
        <v>2959</v>
      </c>
      <c r="I33" s="184" t="s">
        <v>3341</v>
      </c>
      <c r="J33" s="183" t="s">
        <v>226</v>
      </c>
      <c r="K33" s="183" t="s">
        <v>227</v>
      </c>
      <c r="L33" s="185" t="s">
        <v>3199</v>
      </c>
      <c r="M33" s="155"/>
      <c r="N33" s="155"/>
      <c r="O33" s="155"/>
      <c r="P33" s="155"/>
      <c r="Q33" s="186" t="b">
        <v>0</v>
      </c>
      <c r="R33" s="185" t="s">
        <v>226</v>
      </c>
      <c r="S33" s="187" t="n">
        <v>46293.57634259259</v>
      </c>
      <c r="T33" s="188">
        <f>HYPERLINK("http://localhost:8844/AdminKuakeAutomationReport_20260926_094330.html","Open report")</f>
      </c>
      <c r="U33" s="155"/>
      <c r="V33" s="155"/>
      <c r="W33" s="155"/>
      <c r="X33" s="155"/>
      <c r="Y33" s="155"/>
      <c r="Z33" s="155"/>
    </row>
    <row r="34" ht="15.0" customHeight="true">
      <c r="A34" s="183" t="s">
        <v>3342</v>
      </c>
      <c r="B34" s="183" t="s">
        <v>3343</v>
      </c>
      <c r="C34" s="183" t="s">
        <v>3344</v>
      </c>
      <c r="D34" s="183" t="s">
        <v>3345</v>
      </c>
      <c r="E34" s="183" t="s">
        <v>3346</v>
      </c>
      <c r="F34" s="183" t="s">
        <v>2959</v>
      </c>
      <c r="G34" s="183" t="s">
        <v>3347</v>
      </c>
      <c r="H34" s="183" t="s">
        <v>2959</v>
      </c>
      <c r="I34" s="184" t="s">
        <v>3348</v>
      </c>
      <c r="J34" s="183" t="s">
        <v>226</v>
      </c>
      <c r="K34" s="183" t="s">
        <v>227</v>
      </c>
      <c r="L34" s="185" t="s">
        <v>3199</v>
      </c>
      <c r="M34" s="155"/>
      <c r="N34" s="155"/>
      <c r="O34" s="155"/>
      <c r="P34" s="155"/>
      <c r="Q34" s="186" t="b">
        <v>0</v>
      </c>
      <c r="R34" s="185" t="s">
        <v>226</v>
      </c>
      <c r="S34" s="187" t="n">
        <v>46293.60055555555</v>
      </c>
      <c r="T34" s="188">
        <f>HYPERLINK("http://localhost:8844/AdminKuakeAutomationReport_20260926_163123.html", "Open report")</f>
      </c>
      <c r="U34" s="155"/>
      <c r="V34" s="155"/>
      <c r="W34" s="155"/>
      <c r="X34" s="155"/>
      <c r="Y34" s="155"/>
      <c r="Z34" s="155"/>
    </row>
    <row r="35" ht="15.0" customHeight="true">
      <c r="A35" s="176" t="s">
        <v>3349</v>
      </c>
      <c r="B35" s="177"/>
      <c r="C35" s="177"/>
      <c r="D35" s="177"/>
      <c r="E35" s="177"/>
      <c r="F35" s="177"/>
      <c r="G35" s="177"/>
      <c r="H35" s="177"/>
      <c r="I35" s="177"/>
      <c r="J35" s="177"/>
      <c r="K35" s="178"/>
      <c r="L35" s="155"/>
      <c r="M35" s="155"/>
      <c r="N35" s="155"/>
      <c r="O35" s="155"/>
      <c r="P35" s="155"/>
      <c r="Q35" s="155"/>
      <c r="R35" s="155"/>
      <c r="S35" s="182"/>
      <c r="T35" s="155"/>
      <c r="U35" s="155"/>
      <c r="V35" s="155"/>
      <c r="W35" s="155"/>
      <c r="X35" s="155"/>
      <c r="Y35" s="155"/>
      <c r="Z35" s="155"/>
    </row>
    <row r="36" ht="15.0" customHeight="true">
      <c r="A36" s="194" t="s">
        <v>3350</v>
      </c>
      <c r="B36" s="195"/>
      <c r="C36" s="195"/>
      <c r="D36" s="195"/>
      <c r="E36" s="195"/>
      <c r="F36" s="195"/>
      <c r="G36" s="195"/>
      <c r="H36" s="195"/>
      <c r="I36" s="195"/>
      <c r="J36" s="195"/>
      <c r="K36" s="196"/>
      <c r="L36" s="155"/>
      <c r="M36" s="155"/>
      <c r="N36" s="155"/>
      <c r="O36" s="155"/>
      <c r="P36" s="155"/>
      <c r="Q36" s="155"/>
      <c r="R36" s="155"/>
      <c r="S36" s="155"/>
      <c r="T36" s="155"/>
      <c r="U36" s="155"/>
      <c r="V36" s="155"/>
      <c r="W36" s="155"/>
      <c r="X36" s="155"/>
      <c r="Y36" s="155"/>
      <c r="Z36" s="155"/>
    </row>
    <row r="37" ht="15.0" customHeight="true">
      <c r="A37" s="179" t="s">
        <v>3351</v>
      </c>
      <c r="B37" s="180"/>
      <c r="C37" s="180"/>
      <c r="D37" s="180"/>
      <c r="E37" s="180"/>
      <c r="F37" s="180"/>
      <c r="G37" s="180"/>
      <c r="H37" s="180"/>
      <c r="I37" s="180"/>
      <c r="J37" s="180"/>
      <c r="K37" s="181"/>
      <c r="L37" s="155"/>
      <c r="M37" s="155"/>
      <c r="N37" s="155"/>
      <c r="O37" s="155"/>
      <c r="P37" s="155"/>
      <c r="Q37" s="155"/>
      <c r="R37" s="155"/>
      <c r="S37" s="182"/>
      <c r="T37" s="155"/>
      <c r="U37" s="155"/>
      <c r="V37" s="155"/>
      <c r="W37" s="155"/>
      <c r="X37" s="155"/>
      <c r="Y37" s="155"/>
      <c r="Z37" s="155"/>
    </row>
    <row r="38" ht="15.0" customHeight="true">
      <c r="A38" s="197" t="s">
        <v>3352</v>
      </c>
      <c r="B38" s="183" t="s">
        <v>3353</v>
      </c>
      <c r="C38" s="183" t="s">
        <v>3354</v>
      </c>
      <c r="D38" s="183" t="s">
        <v>3355</v>
      </c>
      <c r="E38" s="183" t="s">
        <v>3356</v>
      </c>
      <c r="F38" s="183" t="s">
        <v>2959</v>
      </c>
      <c r="G38" s="183" t="s">
        <v>3357</v>
      </c>
      <c r="H38" s="183" t="s">
        <v>2959</v>
      </c>
      <c r="I38" s="184" t="s">
        <v>3358</v>
      </c>
      <c r="J38" s="183" t="s">
        <v>226</v>
      </c>
      <c r="K38" s="183" t="s">
        <v>225</v>
      </c>
      <c r="L38" s="185" t="s">
        <v>3199</v>
      </c>
      <c r="M38" s="155"/>
      <c r="N38" s="155"/>
      <c r="O38" s="155"/>
      <c r="P38" s="155"/>
      <c r="Q38" s="186" t="b">
        <v>0</v>
      </c>
      <c r="R38" s="185" t="s">
        <v>226</v>
      </c>
      <c r="S38" s="187" t="n">
        <v>46293.51819444444</v>
      </c>
      <c r="T38" s="188">
        <f>HYPERLINK("http://localhost:8844/AdminKuakeAutomationReport_20260926_094330.html","Open report")</f>
      </c>
      <c r="U38" s="155"/>
      <c r="V38" s="155"/>
      <c r="W38" s="155"/>
      <c r="X38" s="155"/>
      <c r="Y38" s="155"/>
      <c r="Z38" s="155"/>
    </row>
    <row r="39" ht="15.0" customHeight="true">
      <c r="A39" s="183" t="s">
        <v>3359</v>
      </c>
      <c r="B39" s="183" t="s">
        <v>3360</v>
      </c>
      <c r="C39" s="183" t="s">
        <v>3361</v>
      </c>
      <c r="D39" s="183" t="s">
        <v>3355</v>
      </c>
      <c r="E39" s="183" t="s">
        <v>3362</v>
      </c>
      <c r="F39" s="190" t="s">
        <v>3363</v>
      </c>
      <c r="G39" s="183" t="s">
        <v>3364</v>
      </c>
      <c r="H39" s="183" t="s">
        <v>2959</v>
      </c>
      <c r="I39" s="183" t="s">
        <v>3365</v>
      </c>
      <c r="J39" s="183" t="s">
        <v>226</v>
      </c>
      <c r="K39" s="183" t="s">
        <v>225</v>
      </c>
      <c r="L39" s="185" t="s">
        <v>3199</v>
      </c>
      <c r="M39" s="155"/>
      <c r="N39" s="155"/>
      <c r="O39" s="155"/>
      <c r="P39" s="155"/>
      <c r="Q39" s="186" t="b">
        <v>0</v>
      </c>
      <c r="R39" s="185" t="s">
        <v>226</v>
      </c>
      <c r="S39" s="187" t="n">
        <v>46293.61855324074</v>
      </c>
      <c r="T39" s="188">
        <f>HYPERLINK("http://localhost:8844/AdminKuakeAutomationReport_20260926_094330.html","Open report")</f>
      </c>
      <c r="U39" s="155"/>
      <c r="V39" s="155"/>
      <c r="W39" s="155"/>
      <c r="X39" s="155"/>
      <c r="Y39" s="155"/>
      <c r="Z39" s="155"/>
    </row>
    <row r="40" ht="15.0" customHeight="true">
      <c r="A40" s="197" t="s">
        <v>3366</v>
      </c>
      <c r="B40" s="183" t="s">
        <v>3367</v>
      </c>
      <c r="C40" s="183" t="s">
        <v>3368</v>
      </c>
      <c r="D40" s="183" t="s">
        <v>3355</v>
      </c>
      <c r="E40" s="183" t="s">
        <v>3369</v>
      </c>
      <c r="F40" s="183" t="s">
        <v>3370</v>
      </c>
      <c r="G40" s="183" t="s">
        <v>3371</v>
      </c>
      <c r="H40" s="183" t="s">
        <v>3372</v>
      </c>
      <c r="I40" s="183" t="s">
        <v>3373</v>
      </c>
      <c r="J40" s="183" t="s">
        <v>226</v>
      </c>
      <c r="K40" s="183" t="s">
        <v>225</v>
      </c>
      <c r="L40" s="185" t="s">
        <v>3199</v>
      </c>
      <c r="M40" s="155"/>
      <c r="N40" s="155"/>
      <c r="O40" s="155"/>
      <c r="P40" s="155"/>
      <c r="Q40" s="186" t="b">
        <v>0</v>
      </c>
      <c r="R40" s="185" t="s">
        <v>226</v>
      </c>
      <c r="S40" s="187" t="n">
        <v>46293.61241898148</v>
      </c>
      <c r="T40" s="188">
        <f>HYPERLINK("http://localhost:8844/AdminKuakeAutomationReport_20260926_094330.html","Open report")</f>
      </c>
      <c r="U40" s="155"/>
      <c r="V40" s="155"/>
      <c r="W40" s="155"/>
      <c r="X40" s="155"/>
      <c r="Y40" s="155"/>
      <c r="Z40" s="155"/>
    </row>
    <row r="41" ht="15.0" customHeight="true">
      <c r="A41" s="183" t="s">
        <v>3374</v>
      </c>
      <c r="B41" s="183" t="s">
        <v>3375</v>
      </c>
      <c r="C41" s="183" t="s">
        <v>3376</v>
      </c>
      <c r="D41" s="183" t="s">
        <v>3377</v>
      </c>
      <c r="E41" s="183" t="s">
        <v>3378</v>
      </c>
      <c r="F41" s="183" t="s">
        <v>3379</v>
      </c>
      <c r="G41" s="183" t="s">
        <v>3380</v>
      </c>
      <c r="H41" s="183" t="s">
        <v>3372</v>
      </c>
      <c r="I41" s="183" t="s">
        <v>3381</v>
      </c>
      <c r="J41" s="183" t="s">
        <v>226</v>
      </c>
      <c r="K41" s="183" t="s">
        <v>227</v>
      </c>
      <c r="L41" s="185" t="s">
        <v>3199</v>
      </c>
      <c r="M41" s="155"/>
      <c r="N41" s="155"/>
      <c r="O41" s="155"/>
      <c r="P41" s="155"/>
      <c r="Q41" s="186" t="b">
        <v>0</v>
      </c>
      <c r="R41" s="185" t="s">
        <v>226</v>
      </c>
      <c r="S41" s="187" t="n">
        <v>46293.6118287037</v>
      </c>
      <c r="T41" s="188">
        <f>HYPERLINK("http://localhost:8844/AdminKuakeAutomationReport_20260926_094330.html","Open report")</f>
      </c>
      <c r="U41" s="155"/>
      <c r="V41" s="155"/>
      <c r="W41" s="155"/>
      <c r="X41" s="155"/>
      <c r="Y41" s="155"/>
      <c r="Z41" s="155"/>
    </row>
    <row r="42" ht="15.0" customHeight="true">
      <c r="A42" s="183" t="s">
        <v>3382</v>
      </c>
      <c r="B42" s="183" t="s">
        <v>3383</v>
      </c>
      <c r="C42" s="183" t="s">
        <v>3384</v>
      </c>
      <c r="D42" s="183" t="s">
        <v>3355</v>
      </c>
      <c r="E42" s="183" t="s">
        <v>3385</v>
      </c>
      <c r="F42" s="183" t="s">
        <v>2959</v>
      </c>
      <c r="G42" s="183" t="s">
        <v>3386</v>
      </c>
      <c r="H42" s="183" t="s">
        <v>2959</v>
      </c>
      <c r="I42" s="183" t="s">
        <v>3387</v>
      </c>
      <c r="J42" s="183" t="s">
        <v>226</v>
      </c>
      <c r="K42" s="183" t="s">
        <v>227</v>
      </c>
      <c r="L42" s="185" t="s">
        <v>3199</v>
      </c>
      <c r="M42" s="155"/>
      <c r="N42" s="155"/>
      <c r="O42" s="155"/>
      <c r="P42" s="155"/>
      <c r="Q42" s="186" t="b">
        <v>0</v>
      </c>
      <c r="R42" s="185" t="s">
        <v>226</v>
      </c>
      <c r="S42" s="187" t="n">
        <v>46293.59496527778</v>
      </c>
      <c r="T42" s="188">
        <f>HYPERLINK("http://localhost:8844/AdminKuakeAutomationReport_20260926_094330.html","Open report")</f>
      </c>
      <c r="U42" s="155"/>
      <c r="V42" s="155"/>
      <c r="W42" s="155"/>
      <c r="X42" s="155"/>
      <c r="Y42" s="155"/>
      <c r="Z42" s="155"/>
    </row>
    <row r="43" ht="15.0" customHeight="true">
      <c r="A43" s="198" t="s">
        <v>3388</v>
      </c>
      <c r="B43" s="183" t="s">
        <v>3389</v>
      </c>
      <c r="C43" s="183" t="s">
        <v>3390</v>
      </c>
      <c r="D43" s="183" t="s">
        <v>3391</v>
      </c>
      <c r="E43" s="183" t="s">
        <v>3392</v>
      </c>
      <c r="F43" s="183" t="s">
        <v>3393</v>
      </c>
      <c r="G43" s="183" t="s">
        <v>3394</v>
      </c>
      <c r="H43" s="183" t="s">
        <v>3395</v>
      </c>
      <c r="I43" s="184" t="s">
        <v>3396</v>
      </c>
      <c r="J43" s="183" t="s">
        <v>226</v>
      </c>
      <c r="K43" s="183" t="s">
        <v>225</v>
      </c>
      <c r="L43" s="185" t="s">
        <v>3199</v>
      </c>
      <c r="M43" s="155"/>
      <c r="N43" s="155"/>
      <c r="O43" s="155"/>
      <c r="P43" s="155"/>
      <c r="Q43" s="186" t="b">
        <v>0</v>
      </c>
      <c r="R43" s="185" t="s">
        <v>226</v>
      </c>
      <c r="S43" s="187" t="n">
        <v>46293.595601851855</v>
      </c>
      <c r="T43" s="188">
        <f>HYPERLINK("http://localhost:8844/AdminKuakeAutomationReport_20260926_094330.html","Open report")</f>
      </c>
      <c r="U43" s="155"/>
      <c r="V43" s="155"/>
      <c r="W43" s="155"/>
      <c r="X43" s="155"/>
      <c r="Y43" s="155"/>
      <c r="Z43" s="155"/>
    </row>
    <row r="44" ht="15.0" customHeight="true">
      <c r="A44" s="183" t="s">
        <v>3397</v>
      </c>
      <c r="B44" s="183" t="s">
        <v>3398</v>
      </c>
      <c r="C44" s="183" t="s">
        <v>3399</v>
      </c>
      <c r="D44" s="183" t="s">
        <v>3391</v>
      </c>
      <c r="E44" s="183" t="s">
        <v>3400</v>
      </c>
      <c r="F44" s="183" t="s">
        <v>3401</v>
      </c>
      <c r="G44" s="183" t="s">
        <v>3402</v>
      </c>
      <c r="H44" s="183" t="s">
        <v>3395</v>
      </c>
      <c r="I44" s="184" t="s">
        <v>3403</v>
      </c>
      <c r="J44" s="183" t="s">
        <v>226</v>
      </c>
      <c r="K44" s="183" t="s">
        <v>227</v>
      </c>
      <c r="L44" s="185" t="s">
        <v>3199</v>
      </c>
      <c r="M44" s="155"/>
      <c r="N44" s="155"/>
      <c r="O44" s="155"/>
      <c r="P44" s="155"/>
      <c r="Q44" s="186" t="b">
        <v>0</v>
      </c>
      <c r="R44" s="185" t="s">
        <v>228</v>
      </c>
      <c r="S44" s="187" t="n">
        <v>46293.59609953704</v>
      </c>
      <c r="T44" s="188">
        <f>HYPERLINK("http://localhost:8844/AdminKuakeAutomationReport_20260928_122307.html", "Open report")</f>
      </c>
      <c r="U44" s="155"/>
      <c r="V44" s="155"/>
      <c r="W44" s="155"/>
      <c r="X44" s="155"/>
      <c r="Y44" s="155"/>
      <c r="Z44" s="155"/>
    </row>
    <row r="45" ht="15.0" customHeight="true">
      <c r="A45" s="183" t="s">
        <v>3404</v>
      </c>
      <c r="B45" s="183" t="s">
        <v>3405</v>
      </c>
      <c r="C45" s="183" t="s">
        <v>3406</v>
      </c>
      <c r="D45" s="183" t="s">
        <v>3355</v>
      </c>
      <c r="E45" s="183" t="s">
        <v>3407</v>
      </c>
      <c r="F45" s="183" t="s">
        <v>3408</v>
      </c>
      <c r="G45" s="183" t="s">
        <v>3409</v>
      </c>
      <c r="H45" s="183" t="s">
        <v>2959</v>
      </c>
      <c r="I45" s="184" t="s">
        <v>3410</v>
      </c>
      <c r="J45" s="183" t="s">
        <v>226</v>
      </c>
      <c r="K45" s="183" t="s">
        <v>225</v>
      </c>
      <c r="L45" s="185" t="s">
        <v>3199</v>
      </c>
      <c r="M45" s="155"/>
      <c r="N45" s="155"/>
      <c r="O45" s="155"/>
      <c r="P45" s="155"/>
      <c r="Q45" s="186" t="b">
        <v>0</v>
      </c>
      <c r="R45" s="185" t="s">
        <v>226</v>
      </c>
      <c r="S45" s="187" t="n">
        <v>46293.58877314815</v>
      </c>
      <c r="T45" s="188">
        <f>HYPERLINK("http://localhost:8844/AdminKuakeAutomationReport_20260926_094330.html","Open report")</f>
      </c>
      <c r="U45" s="155"/>
      <c r="V45" s="155"/>
      <c r="W45" s="155"/>
      <c r="X45" s="155"/>
      <c r="Y45" s="155"/>
      <c r="Z45" s="155"/>
    </row>
    <row r="46" ht="15.0" customHeight="true">
      <c r="A46" s="183" t="s">
        <v>3411</v>
      </c>
      <c r="B46" s="183" t="s">
        <v>3412</v>
      </c>
      <c r="C46" s="183" t="s">
        <v>3413</v>
      </c>
      <c r="D46" s="183" t="s">
        <v>3355</v>
      </c>
      <c r="E46" s="183" t="s">
        <v>3414</v>
      </c>
      <c r="F46" s="183" t="s">
        <v>3415</v>
      </c>
      <c r="G46" s="183" t="s">
        <v>3416</v>
      </c>
      <c r="H46" s="183" t="s">
        <v>2959</v>
      </c>
      <c r="I46" s="184" t="s">
        <v>3417</v>
      </c>
      <c r="J46" s="183" t="s">
        <v>226</v>
      </c>
      <c r="K46" s="183" t="s">
        <v>227</v>
      </c>
      <c r="L46" s="185" t="s">
        <v>3199</v>
      </c>
      <c r="M46" s="155"/>
      <c r="N46" s="155"/>
      <c r="O46" s="155"/>
      <c r="P46" s="155"/>
      <c r="Q46" s="186" t="b">
        <v>0</v>
      </c>
      <c r="R46" s="185" t="s">
        <v>226</v>
      </c>
      <c r="S46" s="187" t="n">
        <v>46293.58857638889</v>
      </c>
      <c r="T46" s="188">
        <f>HYPERLINK("http://localhost:8844/AdminKuakeAutomationReport_20260926_094330.html","Open report")</f>
      </c>
      <c r="U46" s="155"/>
      <c r="V46" s="155"/>
      <c r="W46" s="155"/>
      <c r="X46" s="155"/>
      <c r="Y46" s="155"/>
      <c r="Z46" s="155"/>
    </row>
    <row r="47" ht="15.0" customHeight="true">
      <c r="A47" s="183" t="s">
        <v>3418</v>
      </c>
      <c r="B47" s="183" t="s">
        <v>3419</v>
      </c>
      <c r="C47" s="183" t="s">
        <v>3420</v>
      </c>
      <c r="D47" s="183" t="s">
        <v>3391</v>
      </c>
      <c r="E47" s="183" t="s">
        <v>3421</v>
      </c>
      <c r="F47" s="183" t="s">
        <v>3422</v>
      </c>
      <c r="G47" s="183" t="s">
        <v>3423</v>
      </c>
      <c r="H47" s="183" t="s">
        <v>3395</v>
      </c>
      <c r="I47" s="184" t="s">
        <v>3424</v>
      </c>
      <c r="J47" s="183" t="s">
        <v>226</v>
      </c>
      <c r="K47" s="183" t="s">
        <v>227</v>
      </c>
      <c r="L47" s="185" t="s">
        <v>3199</v>
      </c>
      <c r="M47" s="155"/>
      <c r="N47" s="155"/>
      <c r="O47" s="155"/>
      <c r="P47" s="155"/>
      <c r="Q47" s="186" t="b">
        <v>0</v>
      </c>
      <c r="R47" s="185" t="s">
        <v>226</v>
      </c>
      <c r="S47" s="187" t="n">
        <v>46293.60909722222</v>
      </c>
      <c r="T47" s="188">
        <f>HYPERLINK("http://localhost:8844/AdminKuakeAutomationReport_20260926_094330.html","Open report")</f>
      </c>
      <c r="U47" s="155"/>
      <c r="V47" s="155"/>
      <c r="W47" s="155"/>
      <c r="X47" s="155"/>
      <c r="Y47" s="155"/>
      <c r="Z47" s="155"/>
    </row>
    <row r="48" ht="15.0" customHeight="true">
      <c r="A48" s="183" t="s">
        <v>3425</v>
      </c>
      <c r="B48" s="183" t="s">
        <v>3426</v>
      </c>
      <c r="C48" s="183" t="s">
        <v>3427</v>
      </c>
      <c r="D48" s="183" t="s">
        <v>3391</v>
      </c>
      <c r="E48" s="183" t="s">
        <v>3428</v>
      </c>
      <c r="F48" s="183" t="s">
        <v>3429</v>
      </c>
      <c r="G48" s="183" t="s">
        <v>3430</v>
      </c>
      <c r="H48" s="183" t="s">
        <v>3395</v>
      </c>
      <c r="I48" s="184" t="s">
        <v>3431</v>
      </c>
      <c r="J48" s="183" t="s">
        <v>226</v>
      </c>
      <c r="K48" s="183" t="s">
        <v>225</v>
      </c>
      <c r="L48" s="185" t="s">
        <v>3199</v>
      </c>
      <c r="M48" s="155"/>
      <c r="N48" s="155"/>
      <c r="O48" s="155"/>
      <c r="P48" s="155"/>
      <c r="Q48" s="186" t="b">
        <v>0</v>
      </c>
      <c r="R48" s="185" t="s">
        <v>226</v>
      </c>
      <c r="S48" s="187" t="n">
        <v>46293.52782407407</v>
      </c>
      <c r="T48" s="188">
        <f>HYPERLINK("http://localhost:8844/AdminKuakeAutomationReport_20260926_094330.html","Open report")</f>
      </c>
      <c r="U48" s="155"/>
      <c r="V48" s="155"/>
      <c r="W48" s="155"/>
      <c r="X48" s="155"/>
      <c r="Y48" s="155"/>
      <c r="Z48" s="155"/>
    </row>
    <row r="49" ht="15.0" customHeight="true">
      <c r="A49" s="183" t="s">
        <v>3432</v>
      </c>
      <c r="B49" s="183" t="s">
        <v>3433</v>
      </c>
      <c r="C49" s="183" t="s">
        <v>3434</v>
      </c>
      <c r="D49" s="183" t="s">
        <v>3391</v>
      </c>
      <c r="E49" s="183" t="s">
        <v>3435</v>
      </c>
      <c r="F49" s="183" t="s">
        <v>3436</v>
      </c>
      <c r="G49" s="183" t="s">
        <v>3437</v>
      </c>
      <c r="H49" s="183" t="s">
        <v>3395</v>
      </c>
      <c r="I49" s="184" t="s">
        <v>3438</v>
      </c>
      <c r="J49" s="183" t="s">
        <v>226</v>
      </c>
      <c r="K49" s="183" t="s">
        <v>225</v>
      </c>
      <c r="L49" s="185" t="s">
        <v>3199</v>
      </c>
      <c r="M49" s="155"/>
      <c r="N49" s="155"/>
      <c r="O49" s="155"/>
      <c r="P49" s="155"/>
      <c r="Q49" s="186" t="b">
        <v>0</v>
      </c>
      <c r="R49" s="185" t="s">
        <v>226</v>
      </c>
      <c r="S49" s="187" t="n">
        <v>46293.58042824074</v>
      </c>
      <c r="T49" s="188">
        <f>HYPERLINK("http://localhost:8844/AdminKuakeAutomationReport_20260926_094330.html","Open report")</f>
      </c>
      <c r="U49" s="155"/>
      <c r="V49" s="155"/>
      <c r="W49" s="155"/>
      <c r="X49" s="155"/>
      <c r="Y49" s="155"/>
      <c r="Z49" s="155"/>
    </row>
    <row r="50" ht="15.0" customHeight="true">
      <c r="A50" s="183" t="s">
        <v>3439</v>
      </c>
      <c r="B50" s="183" t="s">
        <v>3440</v>
      </c>
      <c r="C50" s="183" t="s">
        <v>3441</v>
      </c>
      <c r="D50" s="183" t="s">
        <v>3355</v>
      </c>
      <c r="E50" s="183" t="s">
        <v>3442</v>
      </c>
      <c r="F50" s="183" t="s">
        <v>2959</v>
      </c>
      <c r="G50" s="183" t="s">
        <v>3443</v>
      </c>
      <c r="H50" s="183" t="s">
        <v>3444</v>
      </c>
      <c r="I50" s="184" t="s">
        <v>3445</v>
      </c>
      <c r="J50" s="183" t="s">
        <v>226</v>
      </c>
      <c r="K50" s="183" t="s">
        <v>229</v>
      </c>
      <c r="L50" s="185" t="s">
        <v>3199</v>
      </c>
      <c r="M50" s="155"/>
      <c r="N50" s="155"/>
      <c r="O50" s="155"/>
      <c r="P50" s="155"/>
      <c r="Q50" s="186" t="b">
        <v>0</v>
      </c>
      <c r="R50" s="185" t="s">
        <v>226</v>
      </c>
      <c r="S50" s="187" t="n">
        <v>46293.528391203705</v>
      </c>
      <c r="T50" s="188">
        <f>HYPERLINK("http://localhost:8844/AdminKuakeAutomationReport_20260926_094330.html","Open report")</f>
      </c>
      <c r="U50" s="155"/>
      <c r="V50" s="155"/>
      <c r="W50" s="155"/>
      <c r="X50" s="155"/>
      <c r="Y50" s="155"/>
      <c r="Z50" s="155"/>
    </row>
    <row r="51" ht="15.0" customHeight="true">
      <c r="A51" s="183" t="s">
        <v>3446</v>
      </c>
      <c r="B51" s="183" t="s">
        <v>3447</v>
      </c>
      <c r="C51" s="183" t="s">
        <v>3448</v>
      </c>
      <c r="D51" s="183" t="s">
        <v>3355</v>
      </c>
      <c r="E51" s="183" t="s">
        <v>3449</v>
      </c>
      <c r="F51" s="183" t="s">
        <v>2959</v>
      </c>
      <c r="G51" s="183" t="s">
        <v>3450</v>
      </c>
      <c r="H51" s="183" t="s">
        <v>3372</v>
      </c>
      <c r="I51" s="184" t="s">
        <v>3451</v>
      </c>
      <c r="J51" s="183" t="s">
        <v>226</v>
      </c>
      <c r="K51" s="183" t="s">
        <v>227</v>
      </c>
      <c r="L51" s="185" t="s">
        <v>3199</v>
      </c>
      <c r="M51" s="155"/>
      <c r="N51" s="155"/>
      <c r="O51" s="155"/>
      <c r="P51" s="155"/>
      <c r="Q51" s="186" t="b">
        <v>0</v>
      </c>
      <c r="R51" s="185" t="s">
        <v>226</v>
      </c>
      <c r="S51" s="187" t="n">
        <v>46293.57378472222</v>
      </c>
      <c r="T51" s="188">
        <f>HYPERLINK("http://localhost:8844/AdminKuakeAutomationReport_20260926_094330.html","Open report")</f>
      </c>
      <c r="U51" s="155"/>
      <c r="V51" s="155"/>
      <c r="W51" s="155"/>
      <c r="X51" s="155"/>
      <c r="Y51" s="155"/>
      <c r="Z51" s="155"/>
    </row>
    <row r="52" ht="15.0" customHeight="true">
      <c r="A52" s="191" t="s">
        <v>3452</v>
      </c>
      <c r="B52" s="192"/>
      <c r="C52" s="192"/>
      <c r="D52" s="192"/>
      <c r="E52" s="192"/>
      <c r="F52" s="192"/>
      <c r="G52" s="192"/>
      <c r="H52" s="192"/>
      <c r="I52" s="192"/>
      <c r="J52" s="192"/>
      <c r="K52" s="193"/>
      <c r="L52" s="155"/>
      <c r="M52" s="155"/>
      <c r="N52" s="155"/>
      <c r="O52" s="155"/>
      <c r="P52" s="155"/>
      <c r="Q52" s="155"/>
      <c r="R52" s="155"/>
      <c r="S52" s="182"/>
      <c r="T52" s="155"/>
      <c r="U52" s="155"/>
      <c r="V52" s="155"/>
      <c r="W52" s="155"/>
      <c r="X52" s="155"/>
      <c r="Y52" s="155"/>
      <c r="Z52" s="155"/>
    </row>
    <row r="53" ht="15.0" customHeight="true">
      <c r="A53" s="183" t="s">
        <v>3453</v>
      </c>
      <c r="B53" s="183" t="s">
        <v>3454</v>
      </c>
      <c r="C53" s="183" t="s">
        <v>3455</v>
      </c>
      <c r="D53" s="183" t="s">
        <v>3377</v>
      </c>
      <c r="E53" s="183" t="s">
        <v>3456</v>
      </c>
      <c r="F53" s="183" t="s">
        <v>3457</v>
      </c>
      <c r="G53" s="183" t="s">
        <v>3458</v>
      </c>
      <c r="H53" s="183" t="s">
        <v>3444</v>
      </c>
      <c r="I53" s="184" t="s">
        <v>3459</v>
      </c>
      <c r="J53" s="183" t="s">
        <v>226</v>
      </c>
      <c r="K53" s="183" t="s">
        <v>225</v>
      </c>
      <c r="L53" s="185" t="s">
        <v>3199</v>
      </c>
      <c r="M53" s="155"/>
      <c r="N53" s="155"/>
      <c r="O53" s="155"/>
      <c r="P53" s="155"/>
      <c r="Q53" s="186" t="b">
        <v>0</v>
      </c>
      <c r="R53" s="185" t="s">
        <v>226</v>
      </c>
      <c r="S53" s="187" t="n">
        <v>46293.58704861111</v>
      </c>
      <c r="T53" s="188">
        <f>HYPERLINK("http://localhost:8844/AdminKuakeAutomationReport_20260926_094330.html","Open report")</f>
      </c>
      <c r="U53" s="155"/>
      <c r="V53" s="155"/>
      <c r="W53" s="155"/>
      <c r="X53" s="155"/>
      <c r="Y53" s="155"/>
      <c r="Z53" s="155"/>
    </row>
    <row r="54" ht="15.0" customHeight="true">
      <c r="A54" s="183" t="s">
        <v>3460</v>
      </c>
      <c r="B54" s="183" t="s">
        <v>3461</v>
      </c>
      <c r="C54" s="183" t="s">
        <v>3462</v>
      </c>
      <c r="D54" s="183" t="s">
        <v>3377</v>
      </c>
      <c r="E54" s="183" t="s">
        <v>3463</v>
      </c>
      <c r="F54" s="190" t="s">
        <v>3464</v>
      </c>
      <c r="G54" s="183" t="s">
        <v>3465</v>
      </c>
      <c r="H54" s="183" t="s">
        <v>3444</v>
      </c>
      <c r="I54" s="184" t="s">
        <v>3466</v>
      </c>
      <c r="J54" s="183" t="s">
        <v>226</v>
      </c>
      <c r="K54" s="183" t="s">
        <v>225</v>
      </c>
      <c r="L54" s="185" t="s">
        <v>3199</v>
      </c>
      <c r="M54" s="155"/>
      <c r="N54" s="155"/>
      <c r="O54" s="155"/>
      <c r="P54" s="155"/>
      <c r="Q54" s="186" t="b">
        <v>0</v>
      </c>
      <c r="R54" s="185" t="s">
        <v>226</v>
      </c>
      <c r="S54" s="187" t="n">
        <v>46293.618368055555</v>
      </c>
      <c r="T54" s="188">
        <f>HYPERLINK("http://localhost:8844/AdminKuakeAutomationReport_20260926_094330.html","Open report")</f>
      </c>
      <c r="U54" s="155"/>
      <c r="V54" s="155"/>
      <c r="W54" s="155"/>
      <c r="X54" s="155"/>
      <c r="Y54" s="155"/>
      <c r="Z54" s="155"/>
    </row>
    <row r="55" ht="15.0" customHeight="true">
      <c r="A55" s="183" t="s">
        <v>3467</v>
      </c>
      <c r="B55" s="183" t="s">
        <v>3468</v>
      </c>
      <c r="C55" s="183" t="s">
        <v>3469</v>
      </c>
      <c r="D55" s="183" t="s">
        <v>3377</v>
      </c>
      <c r="E55" s="183" t="s">
        <v>3470</v>
      </c>
      <c r="F55" s="190" t="s">
        <v>3471</v>
      </c>
      <c r="G55" s="183" t="s">
        <v>3472</v>
      </c>
      <c r="H55" s="183" t="s">
        <v>3444</v>
      </c>
      <c r="I55" s="184" t="s">
        <v>3473</v>
      </c>
      <c r="J55" s="183" t="s">
        <v>226</v>
      </c>
      <c r="K55" s="183" t="s">
        <v>225</v>
      </c>
      <c r="L55" s="185" t="s">
        <v>3199</v>
      </c>
      <c r="M55" s="155"/>
      <c r="N55" s="155"/>
      <c r="O55" s="155"/>
      <c r="P55" s="155"/>
      <c r="Q55" s="186" t="b">
        <v>0</v>
      </c>
      <c r="R55" s="185" t="s">
        <v>226</v>
      </c>
      <c r="S55" s="187" t="n">
        <v>46293.615069444444</v>
      </c>
      <c r="T55" s="188">
        <f>HYPERLINK("http://localhost:8844/AdminKuakeAutomationReport_20260926_165835.html", "Open report")</f>
      </c>
      <c r="U55" s="155"/>
      <c r="V55" s="155"/>
      <c r="W55" s="155"/>
      <c r="X55" s="155"/>
      <c r="Y55" s="155"/>
      <c r="Z55" s="155"/>
    </row>
    <row r="56" ht="15.0" customHeight="true">
      <c r="A56" s="183" t="s">
        <v>3474</v>
      </c>
      <c r="B56" s="183" t="s">
        <v>3475</v>
      </c>
      <c r="C56" s="183" t="s">
        <v>3476</v>
      </c>
      <c r="D56" s="183" t="s">
        <v>3477</v>
      </c>
      <c r="E56" s="183" t="s">
        <v>3478</v>
      </c>
      <c r="F56" s="183" t="s">
        <v>3479</v>
      </c>
      <c r="G56" s="183" t="s">
        <v>3480</v>
      </c>
      <c r="H56" s="183" t="s">
        <v>3444</v>
      </c>
      <c r="I56" s="184" t="s">
        <v>3459</v>
      </c>
      <c r="J56" s="183" t="s">
        <v>226</v>
      </c>
      <c r="K56" s="183" t="s">
        <v>227</v>
      </c>
      <c r="L56" s="185" t="s">
        <v>3199</v>
      </c>
      <c r="M56" s="155"/>
      <c r="N56" s="155"/>
      <c r="O56" s="155"/>
      <c r="P56" s="155"/>
      <c r="Q56" s="186" t="b">
        <v>0</v>
      </c>
      <c r="R56" s="185" t="s">
        <v>226</v>
      </c>
      <c r="S56" s="187" t="n">
        <v>46293.62144675926</v>
      </c>
      <c r="T56" s="188">
        <f>HYPERLINK("http://localhost:8844/AdminKuakeAutomationReport_20260926_094330.html", "Open report")</f>
      </c>
      <c r="U56" s="155"/>
      <c r="V56" s="155"/>
      <c r="W56" s="155"/>
      <c r="X56" s="155"/>
      <c r="Y56" s="155"/>
      <c r="Z56" s="155"/>
    </row>
    <row r="57" ht="15.0" customHeight="true">
      <c r="A57" s="183" t="s">
        <v>3481</v>
      </c>
      <c r="B57" s="183" t="s">
        <v>3482</v>
      </c>
      <c r="C57" s="183" t="s">
        <v>3483</v>
      </c>
      <c r="D57" s="183" t="s">
        <v>3355</v>
      </c>
      <c r="E57" s="183" t="s">
        <v>3484</v>
      </c>
      <c r="F57" s="183" t="s">
        <v>3485</v>
      </c>
      <c r="G57" s="183" t="s">
        <v>3486</v>
      </c>
      <c r="H57" s="183" t="s">
        <v>2959</v>
      </c>
      <c r="I57" s="184" t="s">
        <v>3487</v>
      </c>
      <c r="J57" s="183" t="s">
        <v>226</v>
      </c>
      <c r="K57" s="183" t="s">
        <v>225</v>
      </c>
      <c r="L57" s="185" t="s">
        <v>3199</v>
      </c>
      <c r="M57" s="155"/>
      <c r="N57" s="155"/>
      <c r="O57" s="155"/>
      <c r="P57" s="155"/>
      <c r="Q57" s="186" t="b">
        <v>0</v>
      </c>
      <c r="R57" s="185" t="s">
        <v>226</v>
      </c>
      <c r="S57" s="187" t="n">
        <v>46293.59480324074</v>
      </c>
      <c r="T57" s="188">
        <f>HYPERLINK("http://localhost:8844/AdminKuakeAutomationReport_20260926_161610.html", "Open report")</f>
      </c>
      <c r="U57" s="155"/>
      <c r="V57" s="155"/>
      <c r="W57" s="155"/>
      <c r="X57" s="155"/>
      <c r="Y57" s="155"/>
      <c r="Z57" s="155"/>
    </row>
    <row r="58" ht="15.0" customHeight="true">
      <c r="A58" s="183" t="s">
        <v>3488</v>
      </c>
      <c r="B58" s="183" t="s">
        <v>3489</v>
      </c>
      <c r="C58" s="183" t="s">
        <v>3490</v>
      </c>
      <c r="D58" s="183" t="s">
        <v>3491</v>
      </c>
      <c r="E58" s="183" t="s">
        <v>3492</v>
      </c>
      <c r="F58" s="183" t="s">
        <v>3234</v>
      </c>
      <c r="G58" s="183" t="s">
        <v>3493</v>
      </c>
      <c r="H58" s="183" t="s">
        <v>2959</v>
      </c>
      <c r="I58" s="184" t="s">
        <v>3494</v>
      </c>
      <c r="J58" s="183" t="s">
        <v>226</v>
      </c>
      <c r="K58" s="183" t="s">
        <v>229</v>
      </c>
      <c r="L58" s="185" t="s">
        <v>3199</v>
      </c>
      <c r="M58" s="155"/>
      <c r="N58" s="155"/>
      <c r="O58" s="155"/>
      <c r="P58" s="155"/>
      <c r="Q58" s="186" t="b">
        <v>0</v>
      </c>
      <c r="R58" s="185" t="s">
        <v>226</v>
      </c>
      <c r="S58" s="187" t="n">
        <v>46293.582025462965</v>
      </c>
      <c r="T58" s="188">
        <f>HYPERLINK("http://localhost:8844/AdminKuakeAutomationReport_20260926_094330.html","Open report")</f>
      </c>
      <c r="U58" s="155"/>
      <c r="V58" s="155"/>
      <c r="W58" s="155"/>
      <c r="X58" s="155"/>
      <c r="Y58" s="155"/>
      <c r="Z58" s="155"/>
    </row>
    <row r="59" ht="15.0" customHeight="true">
      <c r="A59" s="183" t="s">
        <v>3495</v>
      </c>
      <c r="B59" s="183" t="s">
        <v>3496</v>
      </c>
      <c r="C59" s="183" t="s">
        <v>3497</v>
      </c>
      <c r="D59" s="183" t="s">
        <v>3355</v>
      </c>
      <c r="E59" s="183" t="s">
        <v>3498</v>
      </c>
      <c r="F59" s="183" t="s">
        <v>3499</v>
      </c>
      <c r="G59" s="183" t="s">
        <v>3500</v>
      </c>
      <c r="H59" s="183" t="s">
        <v>3444</v>
      </c>
      <c r="I59" s="184" t="s">
        <v>3501</v>
      </c>
      <c r="J59" s="183" t="s">
        <v>226</v>
      </c>
      <c r="K59" s="183" t="s">
        <v>225</v>
      </c>
      <c r="L59" s="185" t="s">
        <v>3199</v>
      </c>
      <c r="M59" s="155"/>
      <c r="N59" s="155"/>
      <c r="O59" s="155"/>
      <c r="P59" s="155"/>
      <c r="Q59" s="186" t="b">
        <v>0</v>
      </c>
      <c r="R59" s="185" t="s">
        <v>226</v>
      </c>
      <c r="S59" s="187" t="n">
        <v>46293.588055555556</v>
      </c>
      <c r="T59" s="188">
        <f>HYPERLINK("http://localhost:8844/AdminKuakeAutomationReport_20260926_094330.html","Open report")</f>
      </c>
      <c r="U59" s="155"/>
      <c r="V59" s="155"/>
      <c r="W59" s="155"/>
      <c r="X59" s="155"/>
      <c r="Y59" s="155"/>
      <c r="Z59" s="155"/>
    </row>
    <row r="60" ht="15.0" customHeight="true">
      <c r="A60" s="183" t="s">
        <v>3502</v>
      </c>
      <c r="B60" s="183" t="s">
        <v>3503</v>
      </c>
      <c r="C60" s="183" t="s">
        <v>3504</v>
      </c>
      <c r="D60" s="183" t="s">
        <v>3355</v>
      </c>
      <c r="E60" s="183" t="s">
        <v>3505</v>
      </c>
      <c r="F60" s="183" t="s">
        <v>3506</v>
      </c>
      <c r="G60" s="183" t="s">
        <v>3507</v>
      </c>
      <c r="H60" s="183" t="s">
        <v>2959</v>
      </c>
      <c r="I60" s="184" t="s">
        <v>3508</v>
      </c>
      <c r="J60" s="183" t="s">
        <v>226</v>
      </c>
      <c r="K60" s="183" t="s">
        <v>225</v>
      </c>
      <c r="L60" s="185" t="s">
        <v>3199</v>
      </c>
      <c r="M60" s="155"/>
      <c r="N60" s="155"/>
      <c r="O60" s="155"/>
      <c r="P60" s="155"/>
      <c r="Q60" s="186" t="b">
        <v>0</v>
      </c>
      <c r="R60" s="185" t="s">
        <v>226</v>
      </c>
      <c r="S60" s="187" t="n">
        <v>46293.58837962963</v>
      </c>
      <c r="T60" s="188">
        <f>HYPERLINK("http://localhost:8844/AdminKuakeAutomationReport_20260926_094330.html","Open report")</f>
      </c>
      <c r="U60" s="155"/>
      <c r="V60" s="155"/>
      <c r="W60" s="155"/>
      <c r="X60" s="155"/>
      <c r="Y60" s="155"/>
      <c r="Z60" s="155"/>
    </row>
    <row r="61" ht="15.0" customHeight="true">
      <c r="A61" s="183" t="s">
        <v>3509</v>
      </c>
      <c r="B61" s="183" t="s">
        <v>3510</v>
      </c>
      <c r="C61" s="183" t="s">
        <v>3511</v>
      </c>
      <c r="D61" s="183" t="s">
        <v>3355</v>
      </c>
      <c r="E61" s="183" t="s">
        <v>3512</v>
      </c>
      <c r="F61" s="183" t="s">
        <v>3513</v>
      </c>
      <c r="G61" s="199" t="s">
        <v>3514</v>
      </c>
      <c r="H61" s="183" t="s">
        <v>2959</v>
      </c>
      <c r="I61" s="184" t="s">
        <v>3515</v>
      </c>
      <c r="J61" s="183" t="s">
        <v>226</v>
      </c>
      <c r="K61" s="183" t="s">
        <v>225</v>
      </c>
      <c r="L61" s="185" t="s">
        <v>3199</v>
      </c>
      <c r="M61" s="155"/>
      <c r="N61" s="155"/>
      <c r="O61" s="155"/>
      <c r="P61" s="155"/>
      <c r="Q61" s="186" t="b">
        <v>0</v>
      </c>
      <c r="R61" s="185" t="s">
        <v>226</v>
      </c>
      <c r="S61" s="187" t="n">
        <v>46293.587430555555</v>
      </c>
      <c r="T61" s="188">
        <f>HYPERLINK("http://localhost:8844/AdminKuakeAutomationReport_20260926_094330.html","Open report")</f>
      </c>
      <c r="U61" s="155"/>
      <c r="V61" s="155"/>
      <c r="W61" s="155"/>
      <c r="X61" s="155"/>
      <c r="Y61" s="155"/>
      <c r="Z61" s="155"/>
    </row>
    <row r="62" ht="15.0" customHeight="true">
      <c r="A62" s="183" t="s">
        <v>3516</v>
      </c>
      <c r="B62" s="183" t="s">
        <v>3517</v>
      </c>
      <c r="C62" s="183" t="s">
        <v>3518</v>
      </c>
      <c r="D62" s="183" t="s">
        <v>3355</v>
      </c>
      <c r="E62" s="183" t="s">
        <v>3519</v>
      </c>
      <c r="F62" s="183" t="s">
        <v>3520</v>
      </c>
      <c r="G62" s="183" t="s">
        <v>3521</v>
      </c>
      <c r="H62" s="183" t="s">
        <v>2959</v>
      </c>
      <c r="I62" s="184" t="s">
        <v>3522</v>
      </c>
      <c r="J62" s="183" t="s">
        <v>226</v>
      </c>
      <c r="K62" s="183" t="s">
        <v>229</v>
      </c>
      <c r="L62" s="185" t="s">
        <v>3199</v>
      </c>
      <c r="M62" s="155"/>
      <c r="N62" s="155"/>
      <c r="O62" s="155"/>
      <c r="P62" s="155"/>
      <c r="Q62" s="186" t="b">
        <v>0</v>
      </c>
      <c r="R62" s="185" t="s">
        <v>226</v>
      </c>
      <c r="S62" s="187" t="n">
        <v>46293.588229166664</v>
      </c>
      <c r="T62" s="188">
        <f>HYPERLINK("http://localhost:8844/AdminKuakeAutomationReport_20260926_094330.html","Open report")</f>
      </c>
      <c r="U62" s="155"/>
      <c r="V62" s="155"/>
      <c r="W62" s="155"/>
      <c r="X62" s="155"/>
      <c r="Y62" s="155"/>
      <c r="Z62" s="155"/>
    </row>
    <row r="63" ht="15.0" customHeight="true">
      <c r="A63" s="183" t="s">
        <v>3523</v>
      </c>
      <c r="B63" s="183" t="s">
        <v>3524</v>
      </c>
      <c r="C63" s="183" t="s">
        <v>3525</v>
      </c>
      <c r="D63" s="183" t="s">
        <v>3477</v>
      </c>
      <c r="E63" s="183" t="s">
        <v>3526</v>
      </c>
      <c r="F63" s="183" t="s">
        <v>3527</v>
      </c>
      <c r="G63" s="183" t="s">
        <v>3528</v>
      </c>
      <c r="H63" s="183" t="s">
        <v>3444</v>
      </c>
      <c r="I63" s="184" t="s">
        <v>3529</v>
      </c>
      <c r="J63" s="183" t="s">
        <v>226</v>
      </c>
      <c r="K63" s="183" t="s">
        <v>225</v>
      </c>
      <c r="L63" s="185" t="s">
        <v>3199</v>
      </c>
      <c r="M63" s="155"/>
      <c r="N63" s="155"/>
      <c r="O63" s="155"/>
      <c r="P63" s="155"/>
      <c r="Q63" s="186" t="b">
        <v>0</v>
      </c>
      <c r="R63" s="185" t="s">
        <v>226</v>
      </c>
      <c r="S63" s="187" t="n">
        <v>46293.57771990741</v>
      </c>
      <c r="T63" s="188">
        <f>HYPERLINK("http://localhost:8844/AdminKuakeAutomationReport_20260926_165835.html", "Open report")</f>
      </c>
      <c r="U63" s="155"/>
      <c r="V63" s="155"/>
      <c r="W63" s="155"/>
      <c r="X63" s="155"/>
      <c r="Y63" s="155"/>
      <c r="Z63" s="155"/>
    </row>
    <row r="64" ht="15.0" customHeight="true">
      <c r="A64" s="183" t="s">
        <v>3530</v>
      </c>
      <c r="B64" s="183" t="s">
        <v>3531</v>
      </c>
      <c r="C64" s="183" t="s">
        <v>3532</v>
      </c>
      <c r="D64" s="183" t="s">
        <v>3477</v>
      </c>
      <c r="E64" s="183" t="s">
        <v>3533</v>
      </c>
      <c r="F64" s="183" t="s">
        <v>3534</v>
      </c>
      <c r="G64" s="183" t="s">
        <v>3535</v>
      </c>
      <c r="H64" s="183" t="s">
        <v>3444</v>
      </c>
      <c r="I64" s="184" t="s">
        <v>3536</v>
      </c>
      <c r="J64" s="183" t="s">
        <v>226</v>
      </c>
      <c r="K64" s="183" t="s">
        <v>225</v>
      </c>
      <c r="L64" s="185" t="s">
        <v>3199</v>
      </c>
      <c r="M64" s="155"/>
      <c r="N64" s="155"/>
      <c r="O64" s="155"/>
      <c r="P64" s="155"/>
      <c r="Q64" s="186" t="b">
        <v>0</v>
      </c>
      <c r="R64" s="185" t="s">
        <v>226</v>
      </c>
      <c r="S64" s="187" t="n">
        <v>46293.57925925926</v>
      </c>
      <c r="T64" s="188">
        <f>HYPERLINK("http://localhost:8844/AdminKuakeAutomationReport_20260926_094330.html","Open report")</f>
      </c>
      <c r="U64" s="155"/>
      <c r="V64" s="155"/>
      <c r="W64" s="155"/>
      <c r="X64" s="155"/>
      <c r="Y64" s="155"/>
      <c r="Z64" s="155"/>
    </row>
    <row r="65" ht="15.0" customHeight="true">
      <c r="A65" s="183" t="s">
        <v>3537</v>
      </c>
      <c r="B65" s="183" t="s">
        <v>3538</v>
      </c>
      <c r="C65" s="183" t="s">
        <v>3539</v>
      </c>
      <c r="D65" s="183" t="s">
        <v>3540</v>
      </c>
      <c r="E65" s="183" t="s">
        <v>3541</v>
      </c>
      <c r="F65" s="183" t="s">
        <v>2959</v>
      </c>
      <c r="G65" s="183" t="s">
        <v>3542</v>
      </c>
      <c r="H65" s="183" t="s">
        <v>3543</v>
      </c>
      <c r="I65" s="184" t="s">
        <v>3544</v>
      </c>
      <c r="J65" s="183" t="s">
        <v>226</v>
      </c>
      <c r="K65" s="183" t="s">
        <v>227</v>
      </c>
      <c r="L65" s="185" t="s">
        <v>3199</v>
      </c>
      <c r="M65" s="155"/>
      <c r="N65" s="155"/>
      <c r="O65" s="155"/>
      <c r="P65" s="155"/>
      <c r="Q65" s="186" t="b">
        <v>0</v>
      </c>
      <c r="R65" s="185" t="s">
        <v>226</v>
      </c>
      <c r="S65" s="187" t="n">
        <v>46293.58099537037</v>
      </c>
      <c r="T65" s="188">
        <f>HYPERLINK("http://localhost:8844/AdminKuakeAutomationReport_20260926_094330.html","Open report")</f>
      </c>
      <c r="U65" s="155"/>
      <c r="V65" s="155"/>
      <c r="W65" s="155"/>
      <c r="X65" s="155"/>
      <c r="Y65" s="155"/>
      <c r="Z65" s="155"/>
    </row>
    <row r="66" ht="15.0" customHeight="true">
      <c r="A66" s="194" t="s">
        <v>3545</v>
      </c>
      <c r="B66" s="195"/>
      <c r="C66" s="195"/>
      <c r="D66" s="195"/>
      <c r="E66" s="195"/>
      <c r="F66" s="195"/>
      <c r="G66" s="195"/>
      <c r="H66" s="195"/>
      <c r="I66" s="195"/>
      <c r="J66" s="195"/>
      <c r="K66" s="196"/>
      <c r="L66" s="155"/>
      <c r="M66" s="155"/>
      <c r="N66" s="155"/>
      <c r="O66" s="155"/>
      <c r="P66" s="155"/>
      <c r="Q66" s="155"/>
      <c r="R66" s="155"/>
      <c r="S66" s="155"/>
      <c r="T66" s="155"/>
      <c r="U66" s="155"/>
      <c r="V66" s="155"/>
      <c r="W66" s="155"/>
      <c r="X66" s="155"/>
      <c r="Y66" s="155"/>
      <c r="Z66" s="155"/>
    </row>
    <row r="67" ht="15.0" customHeight="true">
      <c r="A67" s="179" t="s">
        <v>3546</v>
      </c>
      <c r="B67" s="180"/>
      <c r="C67" s="180"/>
      <c r="D67" s="180"/>
      <c r="E67" s="180"/>
      <c r="F67" s="180"/>
      <c r="G67" s="180"/>
      <c r="H67" s="180"/>
      <c r="I67" s="180"/>
      <c r="J67" s="180"/>
      <c r="K67" s="181"/>
      <c r="L67" s="155"/>
      <c r="M67" s="155"/>
      <c r="N67" s="155"/>
      <c r="O67" s="155"/>
      <c r="P67" s="155"/>
      <c r="Q67" s="155"/>
      <c r="R67" s="155"/>
      <c r="S67" s="155"/>
      <c r="T67" s="155"/>
      <c r="U67" s="155"/>
      <c r="V67" s="155"/>
      <c r="W67" s="155"/>
      <c r="X67" s="155"/>
      <c r="Y67" s="155"/>
      <c r="Z67" s="155"/>
    </row>
    <row r="68" ht="15.0" customHeight="true">
      <c r="A68" s="183" t="s">
        <v>3547</v>
      </c>
      <c r="B68" s="183" t="s">
        <v>3548</v>
      </c>
      <c r="C68" s="183" t="s">
        <v>3549</v>
      </c>
      <c r="D68" s="183" t="s">
        <v>3355</v>
      </c>
      <c r="E68" s="183" t="s">
        <v>3550</v>
      </c>
      <c r="F68" s="183" t="s">
        <v>2959</v>
      </c>
      <c r="G68" s="183" t="s">
        <v>3551</v>
      </c>
      <c r="H68" s="183" t="s">
        <v>2959</v>
      </c>
      <c r="I68" s="184" t="s">
        <v>3552</v>
      </c>
      <c r="J68" s="183" t="s">
        <v>226</v>
      </c>
      <c r="K68" s="183" t="s">
        <v>225</v>
      </c>
      <c r="L68" s="185" t="s">
        <v>3199</v>
      </c>
      <c r="M68" s="155"/>
      <c r="N68" s="155"/>
      <c r="O68" s="155"/>
      <c r="P68" s="155"/>
      <c r="Q68" s="186" t="b">
        <v>0</v>
      </c>
      <c r="R68" s="185" t="s">
        <v>226</v>
      </c>
      <c r="S68" s="187" t="n">
        <v>46293.51980324074</v>
      </c>
      <c r="T68" s="188">
        <f>HYPERLINK("http://localhost:8844/AdminKuakeAutomationReport_20260926_094330.html","Open report")</f>
      </c>
      <c r="U68" s="155"/>
      <c r="V68" s="155"/>
      <c r="W68" s="155"/>
      <c r="X68" s="155"/>
      <c r="Y68" s="155"/>
      <c r="Z68" s="155"/>
    </row>
    <row r="69" ht="15.0" customHeight="true">
      <c r="A69" s="197" t="s">
        <v>3553</v>
      </c>
      <c r="B69" s="183" t="s">
        <v>3554</v>
      </c>
      <c r="C69" s="183" t="s">
        <v>3555</v>
      </c>
      <c r="D69" s="183" t="s">
        <v>3355</v>
      </c>
      <c r="E69" s="183" t="s">
        <v>3556</v>
      </c>
      <c r="F69" s="183" t="s">
        <v>2959</v>
      </c>
      <c r="G69" s="183" t="s">
        <v>3557</v>
      </c>
      <c r="H69" s="183" t="s">
        <v>3558</v>
      </c>
      <c r="I69" s="184" t="s">
        <v>3559</v>
      </c>
      <c r="J69" s="183" t="s">
        <v>226</v>
      </c>
      <c r="K69" s="183" t="s">
        <v>225</v>
      </c>
      <c r="L69" s="185" t="s">
        <v>3199</v>
      </c>
      <c r="M69" s="155"/>
      <c r="N69" s="155"/>
      <c r="O69" s="155"/>
      <c r="P69" s="155"/>
      <c r="Q69" s="186" t="b">
        <v>0</v>
      </c>
      <c r="R69" s="185" t="s">
        <v>226</v>
      </c>
      <c r="S69" s="187" t="n">
        <v>46293.51719907407</v>
      </c>
      <c r="T69" s="188">
        <f>HYPERLINK("http://localhost:8844/AdminKuakeAutomationReport_20260926_094330.html","Open report")</f>
      </c>
      <c r="U69" s="155"/>
      <c r="V69" s="155"/>
      <c r="W69" s="155"/>
      <c r="X69" s="155"/>
      <c r="Y69" s="155"/>
      <c r="Z69" s="155"/>
    </row>
    <row r="70" ht="15.0" customHeight="true">
      <c r="A70" s="183" t="s">
        <v>3560</v>
      </c>
      <c r="B70" s="183" t="s">
        <v>3561</v>
      </c>
      <c r="C70" s="183" t="s">
        <v>3562</v>
      </c>
      <c r="D70" s="183" t="s">
        <v>3355</v>
      </c>
      <c r="E70" s="183" t="s">
        <v>3563</v>
      </c>
      <c r="F70" s="183" t="s">
        <v>2959</v>
      </c>
      <c r="G70" s="183" t="s">
        <v>3564</v>
      </c>
      <c r="H70" s="183" t="s">
        <v>3558</v>
      </c>
      <c r="I70" s="184" t="s">
        <v>3565</v>
      </c>
      <c r="J70" s="183" t="s">
        <v>226</v>
      </c>
      <c r="K70" s="183" t="s">
        <v>227</v>
      </c>
      <c r="L70" s="185" t="s">
        <v>3199</v>
      </c>
      <c r="M70" s="155"/>
      <c r="N70" s="155"/>
      <c r="O70" s="155"/>
      <c r="P70" s="155"/>
      <c r="Q70" s="186" t="b">
        <v>0</v>
      </c>
      <c r="R70" s="185" t="s">
        <v>226</v>
      </c>
      <c r="S70" s="187" t="n">
        <v>46293.51707175926</v>
      </c>
      <c r="T70" s="188">
        <f>HYPERLINK("http://localhost:8844/AdminKuakeAutomationReport_20260926_094330.html","Open report")</f>
      </c>
      <c r="U70" s="155"/>
      <c r="V70" s="155"/>
      <c r="W70" s="155"/>
      <c r="X70" s="155"/>
      <c r="Y70" s="155"/>
      <c r="Z70" s="155"/>
    </row>
    <row r="71" ht="15.0" customHeight="true">
      <c r="A71" s="183" t="s">
        <v>3566</v>
      </c>
      <c r="B71" s="183" t="s">
        <v>3567</v>
      </c>
      <c r="C71" s="183" t="s">
        <v>3568</v>
      </c>
      <c r="D71" s="183" t="s">
        <v>3355</v>
      </c>
      <c r="E71" s="183" t="s">
        <v>3569</v>
      </c>
      <c r="F71" s="183" t="s">
        <v>3570</v>
      </c>
      <c r="G71" s="183" t="s">
        <v>3571</v>
      </c>
      <c r="H71" s="183" t="s">
        <v>2959</v>
      </c>
      <c r="I71" s="184" t="s">
        <v>3572</v>
      </c>
      <c r="J71" s="183" t="s">
        <v>226</v>
      </c>
      <c r="K71" s="183" t="s">
        <v>227</v>
      </c>
      <c r="L71" s="185" t="s">
        <v>3199</v>
      </c>
      <c r="M71" s="155"/>
      <c r="N71" s="155"/>
      <c r="O71" s="155"/>
      <c r="P71" s="155"/>
      <c r="Q71" s="186" t="b">
        <v>0</v>
      </c>
      <c r="R71" s="185" t="s">
        <v>226</v>
      </c>
      <c r="S71" s="187" t="n">
        <v>46293.61788194445</v>
      </c>
      <c r="T71" s="188">
        <f>HYPERLINK("http://localhost:8844/AdminKuakeAutomationReport_20260926_094330.html","Open report")</f>
      </c>
      <c r="U71" s="155"/>
      <c r="V71" s="155"/>
      <c r="W71" s="155"/>
      <c r="X71" s="155"/>
      <c r="Y71" s="155"/>
      <c r="Z71" s="155"/>
    </row>
    <row r="72" ht="15.0" customHeight="true">
      <c r="A72" s="197" t="s">
        <v>3573</v>
      </c>
      <c r="B72" s="183" t="s">
        <v>3574</v>
      </c>
      <c r="C72" s="183" t="s">
        <v>3575</v>
      </c>
      <c r="D72" s="183" t="s">
        <v>3355</v>
      </c>
      <c r="E72" s="183" t="s">
        <v>3576</v>
      </c>
      <c r="F72" s="183" t="s">
        <v>3577</v>
      </c>
      <c r="G72" s="183" t="s">
        <v>3578</v>
      </c>
      <c r="H72" s="183" t="s">
        <v>2959</v>
      </c>
      <c r="I72" s="184" t="s">
        <v>3579</v>
      </c>
      <c r="J72" s="183" t="s">
        <v>226</v>
      </c>
      <c r="K72" s="183" t="s">
        <v>225</v>
      </c>
      <c r="L72" s="185" t="s">
        <v>3199</v>
      </c>
      <c r="M72" s="155"/>
      <c r="N72" s="155"/>
      <c r="O72" s="155"/>
      <c r="P72" s="155"/>
      <c r="Q72" s="186" t="b">
        <v>0</v>
      </c>
      <c r="R72" s="185" t="s">
        <v>226</v>
      </c>
      <c r="S72" s="187" t="n">
        <v>46293.520590277774</v>
      </c>
      <c r="T72" s="188">
        <f>HYPERLINK("http://localhost:8844/AdminKuakeAutomationReport_20260926_094330.html","Open report")</f>
      </c>
      <c r="U72" s="155"/>
      <c r="V72" s="155"/>
      <c r="W72" s="155"/>
      <c r="X72" s="155"/>
      <c r="Y72" s="155"/>
      <c r="Z72" s="155"/>
    </row>
    <row r="73" ht="15.0" customHeight="true">
      <c r="A73" s="183" t="s">
        <v>3580</v>
      </c>
      <c r="B73" s="183" t="s">
        <v>3581</v>
      </c>
      <c r="C73" s="183" t="s">
        <v>3582</v>
      </c>
      <c r="D73" s="183" t="s">
        <v>3583</v>
      </c>
      <c r="E73" s="183" t="s">
        <v>3584</v>
      </c>
      <c r="F73" s="183" t="s">
        <v>3577</v>
      </c>
      <c r="G73" s="183" t="s">
        <v>3585</v>
      </c>
      <c r="H73" s="183" t="s">
        <v>2959</v>
      </c>
      <c r="I73" s="184" t="s">
        <v>3586</v>
      </c>
      <c r="J73" s="183" t="s">
        <v>226</v>
      </c>
      <c r="K73" s="183" t="s">
        <v>225</v>
      </c>
      <c r="L73" s="185" t="s">
        <v>3199</v>
      </c>
      <c r="M73" s="155"/>
      <c r="N73" s="155"/>
      <c r="O73" s="155"/>
      <c r="P73" s="155"/>
      <c r="Q73" s="186" t="b">
        <v>0</v>
      </c>
      <c r="R73" s="185" t="s">
        <v>226</v>
      </c>
      <c r="S73" s="187" t="n">
        <v>46293.61984953703</v>
      </c>
      <c r="T73" s="188">
        <f>HYPERLINK("http://localhost:8844/AdminKuakeAutomationReport_20260926_094330.html","Open report")</f>
      </c>
      <c r="U73" s="155"/>
      <c r="V73" s="155"/>
      <c r="W73" s="155"/>
      <c r="X73" s="155"/>
      <c r="Y73" s="155"/>
      <c r="Z73" s="155"/>
    </row>
    <row r="74" ht="15.0" customHeight="true">
      <c r="A74" s="183" t="s">
        <v>3587</v>
      </c>
      <c r="B74" s="183" t="s">
        <v>3588</v>
      </c>
      <c r="C74" s="183" t="s">
        <v>3589</v>
      </c>
      <c r="D74" s="183" t="s">
        <v>3583</v>
      </c>
      <c r="E74" s="183" t="s">
        <v>3590</v>
      </c>
      <c r="F74" s="183" t="s">
        <v>3591</v>
      </c>
      <c r="G74" s="183" t="s">
        <v>3592</v>
      </c>
      <c r="H74" s="183" t="s">
        <v>2959</v>
      </c>
      <c r="I74" s="184" t="s">
        <v>3410</v>
      </c>
      <c r="J74" s="183" t="s">
        <v>226</v>
      </c>
      <c r="K74" s="183" t="s">
        <v>227</v>
      </c>
      <c r="L74" s="185" t="s">
        <v>3199</v>
      </c>
      <c r="M74" s="155"/>
      <c r="N74" s="155"/>
      <c r="O74" s="155"/>
      <c r="P74" s="155"/>
      <c r="Q74" s="186" t="b">
        <v>0</v>
      </c>
      <c r="R74" s="185" t="s">
        <v>226</v>
      </c>
      <c r="S74" s="187" t="n">
        <v>46293.52034722222</v>
      </c>
      <c r="T74" s="188">
        <f>HYPERLINK("http://localhost:8844/AdminKuakeAutomationReport_20260926_094330.html","Open report")</f>
      </c>
      <c r="U74" s="155"/>
      <c r="V74" s="155"/>
      <c r="W74" s="155"/>
      <c r="X74" s="155"/>
      <c r="Y74" s="155"/>
      <c r="Z74" s="155"/>
    </row>
    <row r="75" ht="15.0" customHeight="true">
      <c r="A75" s="183" t="s">
        <v>3593</v>
      </c>
      <c r="B75" s="183" t="s">
        <v>3594</v>
      </c>
      <c r="C75" s="183" t="s">
        <v>3595</v>
      </c>
      <c r="D75" s="183" t="s">
        <v>3583</v>
      </c>
      <c r="E75" s="183" t="s">
        <v>3596</v>
      </c>
      <c r="F75" s="183" t="s">
        <v>3597</v>
      </c>
      <c r="G75" s="199" t="s">
        <v>3598</v>
      </c>
      <c r="H75" s="183" t="s">
        <v>2959</v>
      </c>
      <c r="I75" s="184" t="s">
        <v>3599</v>
      </c>
      <c r="J75" s="183" t="s">
        <v>226</v>
      </c>
      <c r="K75" s="183" t="s">
        <v>227</v>
      </c>
      <c r="L75" s="185" t="s">
        <v>3199</v>
      </c>
      <c r="M75" s="155"/>
      <c r="N75" s="155"/>
      <c r="O75" s="155"/>
      <c r="P75" s="155"/>
      <c r="Q75" s="186" t="b">
        <v>0</v>
      </c>
      <c r="R75" s="185" t="s">
        <v>226</v>
      </c>
      <c r="S75" s="187" t="n">
        <v>46293.620775462965</v>
      </c>
      <c r="T75" s="188">
        <f>HYPERLINK("http://localhost:8844/AdminKuakeAutomationReport_20260926_094330.html","Open report")</f>
      </c>
      <c r="U75" s="155"/>
      <c r="V75" s="155"/>
      <c r="W75" s="155"/>
      <c r="X75" s="155"/>
      <c r="Y75" s="155"/>
      <c r="Z75" s="155"/>
    </row>
    <row r="76" ht="15.0" customHeight="true">
      <c r="A76" s="197" t="s">
        <v>3600</v>
      </c>
      <c r="B76" s="183" t="s">
        <v>3601</v>
      </c>
      <c r="C76" s="183" t="s">
        <v>3602</v>
      </c>
      <c r="D76" s="183" t="s">
        <v>3583</v>
      </c>
      <c r="E76" s="183" t="s">
        <v>3603</v>
      </c>
      <c r="F76" s="183" t="s">
        <v>3604</v>
      </c>
      <c r="G76" s="183" t="s">
        <v>3605</v>
      </c>
      <c r="H76" s="183" t="s">
        <v>2959</v>
      </c>
      <c r="I76" s="184" t="s">
        <v>3606</v>
      </c>
      <c r="J76" s="183" t="s">
        <v>226</v>
      </c>
      <c r="K76" s="183" t="s">
        <v>225</v>
      </c>
      <c r="L76" s="185" t="s">
        <v>3199</v>
      </c>
      <c r="M76" s="155"/>
      <c r="N76" s="155"/>
      <c r="O76" s="155"/>
      <c r="P76" s="155"/>
      <c r="Q76" s="186" t="b">
        <v>0</v>
      </c>
      <c r="R76" s="185" t="s">
        <v>226</v>
      </c>
      <c r="S76" s="187" t="n">
        <v>46293.61070601852</v>
      </c>
      <c r="T76" s="188">
        <f>HYPERLINK("http://localhost:8844/AdminKuakeAutomationReport_20260928_114546.html", "Open report")</f>
      </c>
      <c r="U76" s="155"/>
      <c r="V76" s="155"/>
      <c r="W76" s="155"/>
      <c r="X76" s="155"/>
      <c r="Y76" s="155"/>
      <c r="Z76" s="155"/>
    </row>
    <row r="77" ht="15.0" customHeight="true">
      <c r="A77" s="183" t="s">
        <v>3607</v>
      </c>
      <c r="B77" s="183" t="s">
        <v>3608</v>
      </c>
      <c r="C77" s="183" t="s">
        <v>3609</v>
      </c>
      <c r="D77" s="183" t="s">
        <v>3583</v>
      </c>
      <c r="E77" s="183" t="s">
        <v>3610</v>
      </c>
      <c r="F77" s="183" t="s">
        <v>3577</v>
      </c>
      <c r="G77" s="183" t="s">
        <v>3611</v>
      </c>
      <c r="H77" s="183" t="s">
        <v>2959</v>
      </c>
      <c r="I77" s="184" t="s">
        <v>3612</v>
      </c>
      <c r="J77" s="183" t="s">
        <v>226</v>
      </c>
      <c r="K77" s="183" t="s">
        <v>227</v>
      </c>
      <c r="L77" s="185" t="s">
        <v>3199</v>
      </c>
      <c r="M77" s="155"/>
      <c r="N77" s="155"/>
      <c r="O77" s="155"/>
      <c r="P77" s="155"/>
      <c r="Q77" s="186" t="b">
        <v>0</v>
      </c>
      <c r="R77" s="185" t="s">
        <v>226</v>
      </c>
      <c r="S77" s="187" t="n">
        <v>46293.61962962963</v>
      </c>
      <c r="T77" s="188">
        <f>HYPERLINK("http://localhost:8844/AdminKuakeAutomationReport_20260926_094330.html","Open report")</f>
      </c>
      <c r="U77" s="155"/>
      <c r="V77" s="155"/>
      <c r="W77" s="155"/>
      <c r="X77" s="155"/>
      <c r="Y77" s="155"/>
      <c r="Z77" s="155"/>
    </row>
    <row r="78" ht="15.0" customHeight="true">
      <c r="A78" s="183" t="s">
        <v>3613</v>
      </c>
      <c r="B78" s="183" t="s">
        <v>3614</v>
      </c>
      <c r="C78" s="183" t="s">
        <v>3615</v>
      </c>
      <c r="D78" s="183" t="s">
        <v>3616</v>
      </c>
      <c r="E78" s="183" t="s">
        <v>3617</v>
      </c>
      <c r="F78" s="183" t="s">
        <v>3618</v>
      </c>
      <c r="G78" s="183" t="s">
        <v>3619</v>
      </c>
      <c r="H78" s="183" t="s">
        <v>2959</v>
      </c>
      <c r="I78" s="184" t="s">
        <v>3620</v>
      </c>
      <c r="J78" s="183" t="s">
        <v>226</v>
      </c>
      <c r="K78" s="183" t="s">
        <v>225</v>
      </c>
      <c r="L78" s="185" t="s">
        <v>3199</v>
      </c>
      <c r="M78" s="155"/>
      <c r="N78" s="155"/>
      <c r="O78" s="155"/>
      <c r="P78" s="155"/>
      <c r="Q78" s="186" t="b">
        <v>0</v>
      </c>
      <c r="R78" s="185" t="s">
        <v>226</v>
      </c>
      <c r="S78" s="187" t="n">
        <v>46293.609918981485</v>
      </c>
      <c r="T78" s="188">
        <f>HYPERLINK("http://localhost:8844/AdminKuakeAutomationReport_20260926_094330.html","Open report")</f>
      </c>
      <c r="U78" s="155"/>
      <c r="V78" s="155"/>
      <c r="W78" s="155"/>
      <c r="X78" s="155"/>
      <c r="Y78" s="155"/>
      <c r="Z78" s="155"/>
    </row>
    <row r="79" ht="15.0" customHeight="true">
      <c r="A79" s="183" t="s">
        <v>3621</v>
      </c>
      <c r="B79" s="183" t="s">
        <v>3622</v>
      </c>
      <c r="C79" s="183" t="s">
        <v>3623</v>
      </c>
      <c r="D79" s="183" t="s">
        <v>3355</v>
      </c>
      <c r="E79" s="183" t="s">
        <v>3624</v>
      </c>
      <c r="F79" s="183" t="s">
        <v>2959</v>
      </c>
      <c r="G79" s="183" t="s">
        <v>3625</v>
      </c>
      <c r="H79" s="183" t="s">
        <v>2959</v>
      </c>
      <c r="I79" s="184" t="s">
        <v>3626</v>
      </c>
      <c r="J79" s="183" t="s">
        <v>226</v>
      </c>
      <c r="K79" s="183" t="s">
        <v>227</v>
      </c>
      <c r="L79" s="185" t="s">
        <v>3199</v>
      </c>
      <c r="M79" s="155"/>
      <c r="N79" s="155"/>
      <c r="O79" s="155"/>
      <c r="P79" s="155"/>
      <c r="Q79" s="186" t="b">
        <v>0</v>
      </c>
      <c r="R79" s="185" t="s">
        <v>226</v>
      </c>
      <c r="S79" s="187" t="n">
        <v>46293.60267361111</v>
      </c>
      <c r="T79" s="188">
        <f>HYPERLINK("http://localhost:8844/AdminKuakeAutomationReport_20260926_094330.html","Open report")</f>
      </c>
      <c r="U79" s="155"/>
      <c r="V79" s="155"/>
      <c r="W79" s="155"/>
      <c r="X79" s="155"/>
      <c r="Y79" s="155"/>
      <c r="Z79" s="155"/>
    </row>
    <row r="80" ht="15.0" customHeight="true">
      <c r="A80" s="183" t="s">
        <v>3627</v>
      </c>
      <c r="B80" s="183" t="s">
        <v>3628</v>
      </c>
      <c r="C80" s="183" t="s">
        <v>3629</v>
      </c>
      <c r="D80" s="183" t="s">
        <v>3630</v>
      </c>
      <c r="E80" s="183" t="s">
        <v>3631</v>
      </c>
      <c r="F80" s="183" t="s">
        <v>3577</v>
      </c>
      <c r="G80" s="183" t="s">
        <v>3632</v>
      </c>
      <c r="H80" s="183" t="s">
        <v>2959</v>
      </c>
      <c r="I80" s="184" t="s">
        <v>3633</v>
      </c>
      <c r="J80" s="183" t="s">
        <v>226</v>
      </c>
      <c r="K80" s="183" t="s">
        <v>225</v>
      </c>
      <c r="L80" s="185" t="s">
        <v>3199</v>
      </c>
      <c r="M80" s="155"/>
      <c r="N80" s="155"/>
      <c r="O80" s="155"/>
      <c r="P80" s="155"/>
      <c r="Q80" s="186" t="b">
        <v>0</v>
      </c>
      <c r="R80" s="185" t="s">
        <v>226</v>
      </c>
      <c r="S80" s="187" t="n">
        <v>46293.60606481481</v>
      </c>
      <c r="T80" s="188">
        <f>HYPERLINK("http://localhost:8844/AdminKuakeAutomationReport_20260926_094330.html","Open report")</f>
      </c>
      <c r="U80" s="155"/>
      <c r="V80" s="155"/>
      <c r="W80" s="155"/>
      <c r="X80" s="155"/>
      <c r="Y80" s="155"/>
      <c r="Z80" s="155"/>
    </row>
    <row r="81" ht="15.0" customHeight="true">
      <c r="A81" s="183" t="s">
        <v>3634</v>
      </c>
      <c r="B81" s="183" t="s">
        <v>3635</v>
      </c>
      <c r="C81" s="183" t="s">
        <v>3636</v>
      </c>
      <c r="D81" s="183" t="s">
        <v>3637</v>
      </c>
      <c r="E81" s="183" t="s">
        <v>3638</v>
      </c>
      <c r="F81" s="183" t="s">
        <v>3639</v>
      </c>
      <c r="G81" s="183" t="s">
        <v>3640</v>
      </c>
      <c r="H81" s="183" t="s">
        <v>3395</v>
      </c>
      <c r="I81" s="184" t="s">
        <v>3641</v>
      </c>
      <c r="J81" s="183" t="s">
        <v>226</v>
      </c>
      <c r="K81" s="183" t="s">
        <v>227</v>
      </c>
      <c r="L81" s="185" t="s">
        <v>3199</v>
      </c>
      <c r="M81" s="155"/>
      <c r="N81" s="155"/>
      <c r="O81" s="155"/>
      <c r="P81" s="155"/>
      <c r="Q81" s="186" t="b">
        <v>0</v>
      </c>
      <c r="R81" s="185" t="s">
        <v>226</v>
      </c>
      <c r="S81" s="187" t="n">
        <v>46293.51965277778</v>
      </c>
      <c r="T81" s="188">
        <f>HYPERLINK("http://localhost:8844/AdminKuakeAutomationReport_20260926_094330.html","Open report")</f>
      </c>
      <c r="U81" s="155"/>
      <c r="V81" s="155"/>
      <c r="W81" s="155"/>
      <c r="X81" s="155"/>
      <c r="Y81" s="155"/>
      <c r="Z81" s="155"/>
    </row>
    <row r="82" ht="15.0" customHeight="true">
      <c r="A82" s="197" t="s">
        <v>3642</v>
      </c>
      <c r="B82" s="183" t="s">
        <v>3643</v>
      </c>
      <c r="C82" s="183" t="s">
        <v>3644</v>
      </c>
      <c r="D82" s="183" t="s">
        <v>3645</v>
      </c>
      <c r="E82" s="183" t="s">
        <v>3646</v>
      </c>
      <c r="F82" s="200" t="s">
        <v>3647</v>
      </c>
      <c r="G82" s="183" t="s">
        <v>3648</v>
      </c>
      <c r="H82" s="183" t="s">
        <v>3395</v>
      </c>
      <c r="I82" s="184" t="s">
        <v>3649</v>
      </c>
      <c r="J82" s="183" t="s">
        <v>226</v>
      </c>
      <c r="K82" s="183" t="s">
        <v>225</v>
      </c>
      <c r="L82" s="185" t="s">
        <v>3199</v>
      </c>
      <c r="M82" s="155"/>
      <c r="N82" s="155"/>
      <c r="O82" s="155"/>
      <c r="P82" s="155"/>
      <c r="Q82" s="186" t="b">
        <v>0</v>
      </c>
      <c r="R82" s="185" t="s">
        <v>226</v>
      </c>
      <c r="S82" s="187" t="n">
        <v>46293.62050925926</v>
      </c>
      <c r="T82" s="188">
        <f>HYPERLINK("http://localhost:8844/AdminKuakeAutomationReport_20260928_115932.html", "Open report")</f>
      </c>
      <c r="U82" s="155"/>
      <c r="V82" s="155"/>
      <c r="W82" s="155"/>
      <c r="X82" s="155"/>
      <c r="Y82" s="155"/>
      <c r="Z82" s="155"/>
    </row>
    <row r="83" ht="15.0" customHeight="true">
      <c r="A83" s="183" t="s">
        <v>3650</v>
      </c>
      <c r="B83" s="183" t="s">
        <v>3651</v>
      </c>
      <c r="C83" s="183" t="s">
        <v>3652</v>
      </c>
      <c r="D83" s="183" t="s">
        <v>3616</v>
      </c>
      <c r="E83" s="183" t="s">
        <v>3653</v>
      </c>
      <c r="F83" s="183" t="s">
        <v>2959</v>
      </c>
      <c r="G83" s="183" t="s">
        <v>3654</v>
      </c>
      <c r="H83" s="183" t="s">
        <v>2959</v>
      </c>
      <c r="I83" s="184" t="s">
        <v>3655</v>
      </c>
      <c r="J83" s="183" t="s">
        <v>226</v>
      </c>
      <c r="K83" s="183" t="s">
        <v>227</v>
      </c>
      <c r="L83" s="185" t="s">
        <v>3199</v>
      </c>
      <c r="M83" s="155"/>
      <c r="N83" s="155"/>
      <c r="O83" s="155"/>
      <c r="P83" s="155"/>
      <c r="Q83" s="186" t="b">
        <v>0</v>
      </c>
      <c r="R83" s="185" t="s">
        <v>226</v>
      </c>
      <c r="S83" s="187" t="n">
        <v>46293.59835648148</v>
      </c>
      <c r="T83" s="188">
        <f>HYPERLINK("http://localhost:8844/AdminKuakeAutomationReport_20260926_094330.html", "Open report")</f>
      </c>
      <c r="U83" s="155"/>
      <c r="V83" s="155"/>
      <c r="W83" s="155"/>
      <c r="X83" s="155"/>
      <c r="Y83" s="155"/>
      <c r="Z83" s="155"/>
    </row>
    <row r="84" ht="15.0" customHeight="true">
      <c r="A84" s="201" t="s">
        <v>3656</v>
      </c>
      <c r="B84" s="183" t="s">
        <v>3657</v>
      </c>
      <c r="C84" s="183" t="s">
        <v>3658</v>
      </c>
      <c r="D84" s="183" t="s">
        <v>3630</v>
      </c>
      <c r="E84" s="183" t="s">
        <v>3659</v>
      </c>
      <c r="F84" s="183" t="s">
        <v>3604</v>
      </c>
      <c r="G84" s="199" t="s">
        <v>3660</v>
      </c>
      <c r="H84" s="183" t="s">
        <v>3372</v>
      </c>
      <c r="I84" s="184" t="s">
        <v>3661</v>
      </c>
      <c r="J84" s="183" t="s">
        <v>226</v>
      </c>
      <c r="K84" s="183" t="s">
        <v>225</v>
      </c>
      <c r="L84" s="185" t="s">
        <v>3199</v>
      </c>
      <c r="M84" s="155"/>
      <c r="N84" s="155"/>
      <c r="O84" s="155"/>
      <c r="P84" s="155"/>
      <c r="Q84" s="186" t="b">
        <v>0</v>
      </c>
      <c r="R84" s="185" t="s">
        <v>226</v>
      </c>
      <c r="S84" s="187" t="n">
        <v>46293.525555555556</v>
      </c>
      <c r="T84" s="188">
        <f>HYPERLINK("http://localhost:8844/AdminKuakeAutomationReport_20260928_122307.html","Open report")</f>
      </c>
      <c r="U84" s="155"/>
      <c r="V84" s="155"/>
      <c r="W84" s="155"/>
      <c r="X84" s="155"/>
      <c r="Y84" s="155"/>
      <c r="Z84" s="155"/>
    </row>
    <row r="85" ht="15.0" customHeight="true">
      <c r="A85" s="201" t="s">
        <v>3662</v>
      </c>
      <c r="B85" s="183" t="s">
        <v>3663</v>
      </c>
      <c r="C85" s="183" t="s">
        <v>3664</v>
      </c>
      <c r="D85" s="183" t="s">
        <v>3630</v>
      </c>
      <c r="E85" s="183" t="s">
        <v>3665</v>
      </c>
      <c r="F85" s="183" t="s">
        <v>3666</v>
      </c>
      <c r="G85" s="183" t="s">
        <v>3667</v>
      </c>
      <c r="H85" s="183" t="s">
        <v>3372</v>
      </c>
      <c r="I85" s="184" t="s">
        <v>3661</v>
      </c>
      <c r="J85" s="183" t="s">
        <v>226</v>
      </c>
      <c r="K85" s="183" t="s">
        <v>227</v>
      </c>
      <c r="L85" s="185" t="s">
        <v>3199</v>
      </c>
      <c r="M85" s="155"/>
      <c r="N85" s="155"/>
      <c r="O85" s="155"/>
      <c r="P85" s="155"/>
      <c r="Q85" s="186" t="b">
        <v>0</v>
      </c>
      <c r="R85" s="185" t="s">
        <v>226</v>
      </c>
      <c r="S85" s="187" t="n">
        <v>46293.525034722225</v>
      </c>
      <c r="T85" s="188">
        <f>HYPERLINK("http://localhost:8844/AdminKuakeAutomationReport_20260928_122307.html","Open report")</f>
      </c>
      <c r="U85" s="155"/>
      <c r="V85" s="155"/>
      <c r="W85" s="155"/>
      <c r="X85" s="155"/>
      <c r="Y85" s="155"/>
      <c r="Z85" s="155"/>
    </row>
    <row r="86" ht="15.0" customHeight="true">
      <c r="A86" s="201" t="s">
        <v>3668</v>
      </c>
      <c r="B86" s="183" t="s">
        <v>3669</v>
      </c>
      <c r="C86" s="183" t="s">
        <v>3670</v>
      </c>
      <c r="D86" s="183" t="s">
        <v>3645</v>
      </c>
      <c r="E86" s="183" t="s">
        <v>3671</v>
      </c>
      <c r="F86" s="183" t="s">
        <v>3647</v>
      </c>
      <c r="G86" s="183" t="s">
        <v>3672</v>
      </c>
      <c r="H86" s="183" t="s">
        <v>2959</v>
      </c>
      <c r="I86" s="184" t="s">
        <v>3673</v>
      </c>
      <c r="J86" s="183" t="s">
        <v>226</v>
      </c>
      <c r="K86" s="183" t="s">
        <v>225</v>
      </c>
      <c r="L86" s="185" t="s">
        <v>3199</v>
      </c>
      <c r="M86" s="155"/>
      <c r="N86" s="155"/>
      <c r="O86" s="155"/>
      <c r="P86" s="155"/>
      <c r="Q86" s="186" t="b">
        <v>0</v>
      </c>
      <c r="R86" s="185" t="s">
        <v>226</v>
      </c>
      <c r="S86" s="187" t="n">
        <v>46293.59185185185</v>
      </c>
      <c r="T86" s="188">
        <f>HYPERLINK("http://localhost:8844/AdminKuakeAutomationReport_20260928_122307.html","Open report")</f>
      </c>
      <c r="U86" s="155"/>
      <c r="V86" s="155"/>
      <c r="W86" s="155"/>
      <c r="X86" s="155"/>
      <c r="Y86" s="155"/>
      <c r="Z86" s="155"/>
    </row>
    <row r="87" ht="15.0" customHeight="true">
      <c r="A87" s="201" t="s">
        <v>3674</v>
      </c>
      <c r="B87" s="183" t="s">
        <v>3675</v>
      </c>
      <c r="C87" s="183" t="s">
        <v>3676</v>
      </c>
      <c r="D87" s="183" t="s">
        <v>3677</v>
      </c>
      <c r="E87" s="183" t="s">
        <v>3678</v>
      </c>
      <c r="F87" s="183" t="s">
        <v>3679</v>
      </c>
      <c r="G87" s="183" t="s">
        <v>3680</v>
      </c>
      <c r="H87" s="183" t="s">
        <v>3395</v>
      </c>
      <c r="I87" s="184" t="s">
        <v>3681</v>
      </c>
      <c r="J87" s="183" t="s">
        <v>226</v>
      </c>
      <c r="K87" s="183" t="s">
        <v>227</v>
      </c>
      <c r="L87" s="185" t="s">
        <v>3199</v>
      </c>
      <c r="M87" s="155"/>
      <c r="N87" s="155"/>
      <c r="O87" s="155"/>
      <c r="P87" s="155"/>
      <c r="Q87" s="186" t="b">
        <v>0</v>
      </c>
      <c r="R87" s="185" t="s">
        <v>226</v>
      </c>
      <c r="S87" s="187" t="n">
        <v>46293.5916087963</v>
      </c>
      <c r="T87" s="188">
        <f>HYPERLINK("http://localhost:8844/AdminKuakeAutomationReport_20260928_122307.html","Open report")</f>
      </c>
      <c r="U87" s="155"/>
      <c r="V87" s="155"/>
      <c r="W87" s="155"/>
      <c r="X87" s="155"/>
      <c r="Y87" s="155"/>
      <c r="Z87" s="155"/>
    </row>
    <row r="88" ht="15.0" customHeight="true">
      <c r="A88" s="201" t="s">
        <v>3682</v>
      </c>
      <c r="B88" s="183" t="s">
        <v>3683</v>
      </c>
      <c r="C88" s="183" t="s">
        <v>3684</v>
      </c>
      <c r="D88" s="183" t="s">
        <v>3685</v>
      </c>
      <c r="E88" s="183" t="s">
        <v>3686</v>
      </c>
      <c r="F88" s="183" t="s">
        <v>3687</v>
      </c>
      <c r="G88" s="183" t="s">
        <v>3688</v>
      </c>
      <c r="H88" s="183" t="s">
        <v>3395</v>
      </c>
      <c r="I88" s="184" t="s">
        <v>3689</v>
      </c>
      <c r="J88" s="183" t="s">
        <v>226</v>
      </c>
      <c r="K88" s="183" t="s">
        <v>225</v>
      </c>
      <c r="L88" s="185" t="s">
        <v>3199</v>
      </c>
      <c r="M88" s="155"/>
      <c r="N88" s="155"/>
      <c r="O88" s="155"/>
      <c r="P88" s="155"/>
      <c r="Q88" s="186" t="b">
        <v>0</v>
      </c>
      <c r="R88" s="185" t="s">
        <v>226</v>
      </c>
      <c r="S88" s="187" t="n">
        <v>46293.57724537037</v>
      </c>
      <c r="T88" s="188">
        <f>HYPERLINK("http://localhost:8844/AdminKuakeAutomationReport_20260928_122307.html","Open report")</f>
      </c>
      <c r="U88" s="155"/>
      <c r="V88" s="155"/>
      <c r="W88" s="155"/>
      <c r="X88" s="155"/>
      <c r="Y88" s="155"/>
      <c r="Z88" s="155"/>
    </row>
    <row r="89" ht="15.0" customHeight="true">
      <c r="A89" s="201" t="s">
        <v>3690</v>
      </c>
      <c r="B89" s="183" t="s">
        <v>3691</v>
      </c>
      <c r="C89" s="183" t="s">
        <v>3692</v>
      </c>
      <c r="D89" s="183" t="s">
        <v>3645</v>
      </c>
      <c r="E89" s="183" t="s">
        <v>3693</v>
      </c>
      <c r="F89" s="183" t="s">
        <v>3694</v>
      </c>
      <c r="G89" s="199" t="s">
        <v>3695</v>
      </c>
      <c r="H89" s="183" t="s">
        <v>3395</v>
      </c>
      <c r="I89" s="184" t="s">
        <v>3661</v>
      </c>
      <c r="J89" s="183" t="s">
        <v>226</v>
      </c>
      <c r="K89" s="183" t="s">
        <v>225</v>
      </c>
      <c r="L89" s="185" t="s">
        <v>3199</v>
      </c>
      <c r="M89" s="155"/>
      <c r="N89" s="155"/>
      <c r="O89" s="155"/>
      <c r="P89" s="155"/>
      <c r="Q89" s="186" t="b">
        <v>0</v>
      </c>
      <c r="R89" s="185" t="s">
        <v>226</v>
      </c>
      <c r="S89" s="187" t="n">
        <v>46293.52606481482</v>
      </c>
      <c r="T89" s="188">
        <f>HYPERLINK("http://localhost:8844/AdminKuakeAutomationReport_20260928_122307.html","Open report")</f>
      </c>
      <c r="U89" s="155"/>
      <c r="V89" s="155"/>
      <c r="W89" s="155"/>
      <c r="X89" s="155"/>
      <c r="Y89" s="155"/>
      <c r="Z89" s="155"/>
    </row>
    <row r="90" ht="15.0" customHeight="true">
      <c r="A90" s="191" t="s">
        <v>3696</v>
      </c>
      <c r="B90" s="192"/>
      <c r="C90" s="192"/>
      <c r="D90" s="192"/>
      <c r="E90" s="192"/>
      <c r="F90" s="192"/>
      <c r="G90" s="192"/>
      <c r="H90" s="192"/>
      <c r="I90" s="192"/>
      <c r="J90" s="192"/>
      <c r="K90" s="193"/>
      <c r="L90" s="155"/>
      <c r="M90" s="155"/>
      <c r="N90" s="155"/>
      <c r="O90" s="155"/>
      <c r="P90" s="155"/>
      <c r="Q90" s="155"/>
      <c r="R90" s="155"/>
      <c r="S90" s="155"/>
      <c r="T90" s="155"/>
      <c r="U90" s="155"/>
      <c r="V90" s="155"/>
      <c r="W90" s="155"/>
      <c r="X90" s="155"/>
      <c r="Y90" s="155"/>
      <c r="Z90" s="155"/>
    </row>
    <row r="91" ht="15.0" customHeight="true">
      <c r="A91" s="183" t="s">
        <v>3697</v>
      </c>
      <c r="B91" s="183" t="s">
        <v>3698</v>
      </c>
      <c r="C91" s="183" t="s">
        <v>3699</v>
      </c>
      <c r="D91" s="183" t="s">
        <v>3630</v>
      </c>
      <c r="E91" s="183" t="s">
        <v>3700</v>
      </c>
      <c r="F91" s="183" t="s">
        <v>2959</v>
      </c>
      <c r="G91" s="183" t="s">
        <v>3701</v>
      </c>
      <c r="H91" s="183" t="s">
        <v>3444</v>
      </c>
      <c r="I91" s="184" t="s">
        <v>3702</v>
      </c>
      <c r="J91" s="183" t="s">
        <v>226</v>
      </c>
      <c r="K91" s="183" t="s">
        <v>225</v>
      </c>
      <c r="L91" s="185" t="s">
        <v>3199</v>
      </c>
      <c r="M91" s="155"/>
      <c r="N91" s="155"/>
      <c r="O91" s="155"/>
      <c r="P91" s="155"/>
      <c r="Q91" s="186" t="b">
        <v>0</v>
      </c>
      <c r="R91" s="185" t="s">
        <v>226</v>
      </c>
      <c r="S91" s="187" t="n">
        <v>46293.62267361111</v>
      </c>
      <c r="T91" s="188">
        <f>HYPERLINK("http://localhost:8844/AdminKuakeAutomationReport_20260928_122307.html","Open report")</f>
      </c>
      <c r="U91" s="155"/>
      <c r="V91" s="155"/>
      <c r="W91" s="155"/>
      <c r="X91" s="155"/>
      <c r="Y91" s="155"/>
      <c r="Z91" s="155"/>
    </row>
    <row r="92" ht="15.0" customHeight="true">
      <c r="A92" s="183" t="s">
        <v>3703</v>
      </c>
      <c r="B92" s="183" t="s">
        <v>3704</v>
      </c>
      <c r="C92" s="183" t="s">
        <v>3705</v>
      </c>
      <c r="D92" s="183" t="s">
        <v>3583</v>
      </c>
      <c r="E92" s="183" t="s">
        <v>3706</v>
      </c>
      <c r="F92" s="183" t="s">
        <v>3707</v>
      </c>
      <c r="G92" s="183" t="s">
        <v>3708</v>
      </c>
      <c r="H92" s="183" t="s">
        <v>3444</v>
      </c>
      <c r="I92" s="184" t="s">
        <v>3709</v>
      </c>
      <c r="J92" s="183" t="s">
        <v>226</v>
      </c>
      <c r="K92" s="183" t="s">
        <v>225</v>
      </c>
      <c r="L92" s="185" t="s">
        <v>3199</v>
      </c>
      <c r="M92" s="155"/>
      <c r="N92" s="155"/>
      <c r="O92" s="155"/>
      <c r="P92" s="155"/>
      <c r="Q92" s="186" t="b">
        <v>0</v>
      </c>
      <c r="R92" s="185" t="s">
        <v>226</v>
      </c>
      <c r="S92" s="187" t="n">
        <v>46293.6153125</v>
      </c>
      <c r="T92" s="188">
        <f>HYPERLINK("http://localhost:8844/AdminKuakeAutomationReport_20260928_122307.html","Open report")</f>
      </c>
      <c r="U92" s="155"/>
      <c r="V92" s="155"/>
      <c r="W92" s="155"/>
      <c r="X92" s="155"/>
      <c r="Y92" s="155"/>
      <c r="Z92" s="155"/>
    </row>
    <row r="93" ht="15.0" customHeight="true">
      <c r="A93" s="183" t="s">
        <v>3710</v>
      </c>
      <c r="B93" s="183" t="s">
        <v>3711</v>
      </c>
      <c r="C93" s="183" t="s">
        <v>3712</v>
      </c>
      <c r="D93" s="183" t="s">
        <v>3583</v>
      </c>
      <c r="E93" s="183" t="s">
        <v>3713</v>
      </c>
      <c r="F93" s="183" t="s">
        <v>3714</v>
      </c>
      <c r="G93" s="183" t="s">
        <v>3715</v>
      </c>
      <c r="H93" s="183" t="s">
        <v>3444</v>
      </c>
      <c r="I93" s="184" t="s">
        <v>3709</v>
      </c>
      <c r="J93" s="183" t="s">
        <v>226</v>
      </c>
      <c r="K93" s="183" t="s">
        <v>225</v>
      </c>
      <c r="L93" s="185" t="s">
        <v>3199</v>
      </c>
      <c r="M93" s="155"/>
      <c r="N93" s="155"/>
      <c r="O93" s="155"/>
      <c r="P93" s="155"/>
      <c r="Q93" s="186" t="b">
        <v>0</v>
      </c>
      <c r="R93" s="185" t="s">
        <v>226</v>
      </c>
      <c r="S93" s="187" t="n">
        <v>46293.59417824074</v>
      </c>
      <c r="T93" s="188">
        <f>HYPERLINK("http://localhost:8844/AdminKuakeAutomationReport_20260928_122307.html","Open report")</f>
      </c>
      <c r="U93" s="155"/>
      <c r="V93" s="155"/>
      <c r="W93" s="155"/>
      <c r="X93" s="155"/>
      <c r="Y93" s="155"/>
      <c r="Z93" s="155"/>
    </row>
    <row r="94" ht="15.0" customHeight="true">
      <c r="A94" s="183" t="s">
        <v>3716</v>
      </c>
      <c r="B94" s="183" t="s">
        <v>3717</v>
      </c>
      <c r="C94" s="183" t="s">
        <v>3718</v>
      </c>
      <c r="D94" s="183" t="s">
        <v>3583</v>
      </c>
      <c r="E94" s="183" t="s">
        <v>3719</v>
      </c>
      <c r="F94" s="183" t="s">
        <v>3720</v>
      </c>
      <c r="G94" s="183" t="s">
        <v>3715</v>
      </c>
      <c r="H94" s="183" t="s">
        <v>3444</v>
      </c>
      <c r="I94" s="184" t="s">
        <v>3709</v>
      </c>
      <c r="J94" s="183" t="s">
        <v>226</v>
      </c>
      <c r="K94" s="183" t="s">
        <v>225</v>
      </c>
      <c r="L94" s="185" t="s">
        <v>3199</v>
      </c>
      <c r="M94" s="155"/>
      <c r="N94" s="155"/>
      <c r="O94" s="155"/>
      <c r="P94" s="155"/>
      <c r="Q94" s="186" t="b">
        <v>0</v>
      </c>
      <c r="R94" s="185" t="s">
        <v>226</v>
      </c>
      <c r="S94" s="187" t="n">
        <v>46293.60142361111</v>
      </c>
      <c r="T94" s="188">
        <f>HYPERLINK("http://localhost:8844/AdminKuakeAutomationReport_20260928_122307.html","Open report")</f>
      </c>
      <c r="U94" s="155"/>
      <c r="V94" s="155"/>
      <c r="W94" s="155"/>
      <c r="X94" s="155"/>
      <c r="Y94" s="155"/>
      <c r="Z94" s="155"/>
    </row>
    <row r="95" ht="15.0" customHeight="true">
      <c r="A95" s="183" t="s">
        <v>3721</v>
      </c>
      <c r="B95" s="183" t="s">
        <v>3722</v>
      </c>
      <c r="C95" s="183" t="s">
        <v>3723</v>
      </c>
      <c r="D95" s="183" t="s">
        <v>3630</v>
      </c>
      <c r="E95" s="183" t="s">
        <v>3724</v>
      </c>
      <c r="F95" s="183" t="s">
        <v>3577</v>
      </c>
      <c r="G95" s="183" t="s">
        <v>3725</v>
      </c>
      <c r="H95" s="183" t="s">
        <v>3444</v>
      </c>
      <c r="I95" s="184" t="s">
        <v>3726</v>
      </c>
      <c r="J95" s="183" t="s">
        <v>226</v>
      </c>
      <c r="K95" s="183" t="s">
        <v>225</v>
      </c>
      <c r="L95" s="185" t="s">
        <v>3199</v>
      </c>
      <c r="M95" s="155"/>
      <c r="N95" s="155"/>
      <c r="O95" s="155"/>
      <c r="P95" s="155"/>
      <c r="Q95" s="186" t="b">
        <v>0</v>
      </c>
      <c r="R95" s="185" t="s">
        <v>226</v>
      </c>
      <c r="S95" s="187" t="n">
        <v>46293.59887731481</v>
      </c>
      <c r="T95" s="188">
        <f>HYPERLINK("http://localhost:8844/AdminKuakeAutomationReport_20260928_122307.html","Open report")</f>
      </c>
      <c r="U95" s="155"/>
      <c r="V95" s="155"/>
      <c r="W95" s="155"/>
      <c r="X95" s="155"/>
      <c r="Y95" s="155"/>
      <c r="Z95" s="155"/>
    </row>
    <row r="96" ht="15.0" customHeight="true">
      <c r="A96" s="183" t="s">
        <v>3727</v>
      </c>
      <c r="B96" s="183" t="s">
        <v>3728</v>
      </c>
      <c r="C96" s="183" t="s">
        <v>3729</v>
      </c>
      <c r="D96" s="183" t="s">
        <v>3630</v>
      </c>
      <c r="E96" s="183" t="s">
        <v>3730</v>
      </c>
      <c r="F96" s="183" t="s">
        <v>3577</v>
      </c>
      <c r="G96" s="183" t="s">
        <v>3731</v>
      </c>
      <c r="H96" s="183" t="s">
        <v>3444</v>
      </c>
      <c r="I96" s="184" t="s">
        <v>3726</v>
      </c>
      <c r="J96" s="183" t="s">
        <v>226</v>
      </c>
      <c r="K96" s="183" t="s">
        <v>225</v>
      </c>
      <c r="L96" s="185" t="s">
        <v>3199</v>
      </c>
      <c r="M96" s="155"/>
      <c r="N96" s="155"/>
      <c r="O96" s="155"/>
      <c r="P96" s="155"/>
      <c r="Q96" s="186" t="b">
        <v>0</v>
      </c>
      <c r="R96" s="185" t="s">
        <v>226</v>
      </c>
      <c r="S96" s="187" t="n">
        <v>46293.58908564815</v>
      </c>
      <c r="T96" s="188">
        <f>HYPERLINK("http://localhost:8844/AdminKuakeAutomationReport_20260928_122307.html","Open report")</f>
      </c>
      <c r="U96" s="155"/>
      <c r="V96" s="155"/>
      <c r="W96" s="155"/>
      <c r="X96" s="155"/>
      <c r="Y96" s="155"/>
      <c r="Z96" s="155"/>
    </row>
    <row r="97" ht="15.0" customHeight="true">
      <c r="A97" s="183" t="s">
        <v>3732</v>
      </c>
      <c r="B97" s="183" t="s">
        <v>3733</v>
      </c>
      <c r="C97" s="183" t="s">
        <v>3734</v>
      </c>
      <c r="D97" s="183" t="s">
        <v>3630</v>
      </c>
      <c r="E97" s="183" t="s">
        <v>3735</v>
      </c>
      <c r="F97" s="183" t="s">
        <v>2959</v>
      </c>
      <c r="G97" s="183" t="s">
        <v>3736</v>
      </c>
      <c r="H97" s="183" t="s">
        <v>2959</v>
      </c>
      <c r="I97" s="184" t="s">
        <v>3726</v>
      </c>
      <c r="J97" s="183" t="s">
        <v>226</v>
      </c>
      <c r="K97" s="183" t="s">
        <v>225</v>
      </c>
      <c r="L97" s="185" t="s">
        <v>3199</v>
      </c>
      <c r="M97" s="155"/>
      <c r="N97" s="155"/>
      <c r="O97" s="155"/>
      <c r="P97" s="155"/>
      <c r="Q97" s="186" t="b">
        <v>0</v>
      </c>
      <c r="R97" s="185" t="s">
        <v>226</v>
      </c>
      <c r="S97" s="187" t="n">
        <v>46293.61019675926</v>
      </c>
      <c r="T97" s="188">
        <f>HYPERLINK("http://localhost:8844/AdminKuakeAutomationReport_20260928_122307.html","Open report")</f>
      </c>
      <c r="U97" s="155"/>
      <c r="V97" s="155"/>
      <c r="W97" s="155"/>
      <c r="X97" s="155"/>
      <c r="Y97" s="155"/>
      <c r="Z97" s="155"/>
    </row>
    <row r="98" ht="15.0" customHeight="true">
      <c r="A98" s="183" t="s">
        <v>3737</v>
      </c>
      <c r="B98" s="183" t="s">
        <v>3738</v>
      </c>
      <c r="C98" s="183" t="s">
        <v>3739</v>
      </c>
      <c r="D98" s="183" t="s">
        <v>3583</v>
      </c>
      <c r="E98" s="183" t="s">
        <v>3740</v>
      </c>
      <c r="F98" s="183" t="s">
        <v>3741</v>
      </c>
      <c r="G98" s="183" t="s">
        <v>3742</v>
      </c>
      <c r="H98" s="183" t="s">
        <v>2959</v>
      </c>
      <c r="I98" s="184" t="s">
        <v>3743</v>
      </c>
      <c r="J98" s="183" t="s">
        <v>226</v>
      </c>
      <c r="K98" s="183" t="s">
        <v>225</v>
      </c>
      <c r="L98" s="185" t="s">
        <v>3199</v>
      </c>
      <c r="M98" s="155"/>
      <c r="N98" s="155"/>
      <c r="O98" s="155"/>
      <c r="P98" s="155"/>
      <c r="Q98" s="186" t="b">
        <v>0</v>
      </c>
      <c r="R98" s="185" t="s">
        <v>226</v>
      </c>
      <c r="S98" s="187" t="n">
        <v>46293.52012731481</v>
      </c>
      <c r="T98" s="188">
        <f>HYPERLINK("http://localhost:8844/AdminKuakeAutomationReport_20260928_122307.html","Open report")</f>
      </c>
      <c r="U98" s="155"/>
      <c r="V98" s="155"/>
      <c r="W98" s="155"/>
      <c r="X98" s="155"/>
      <c r="Y98" s="155"/>
      <c r="Z98" s="155"/>
    </row>
    <row r="99" ht="15.0" customHeight="true">
      <c r="A99" s="183" t="s">
        <v>3744</v>
      </c>
      <c r="B99" s="183" t="s">
        <v>3745</v>
      </c>
      <c r="C99" s="183" t="s">
        <v>3746</v>
      </c>
      <c r="D99" s="183" t="s">
        <v>3583</v>
      </c>
      <c r="E99" s="183" t="s">
        <v>3512</v>
      </c>
      <c r="F99" s="183" t="s">
        <v>3747</v>
      </c>
      <c r="G99" s="183" t="s">
        <v>3748</v>
      </c>
      <c r="H99" s="183" t="s">
        <v>2959</v>
      </c>
      <c r="I99" s="184" t="s">
        <v>3749</v>
      </c>
      <c r="J99" s="183" t="s">
        <v>226</v>
      </c>
      <c r="K99" s="183" t="s">
        <v>227</v>
      </c>
      <c r="L99" s="185" t="s">
        <v>3199</v>
      </c>
      <c r="M99" s="155"/>
      <c r="N99" s="155"/>
      <c r="O99" s="155"/>
      <c r="P99" s="155"/>
      <c r="Q99" s="186" t="b">
        <v>0</v>
      </c>
      <c r="R99" s="185" t="s">
        <v>226</v>
      </c>
      <c r="S99" s="187" t="n">
        <v>46293.51997685185</v>
      </c>
      <c r="T99" s="188">
        <f>HYPERLINK("http://localhost:8844/AdminKuakeAutomationReport_20260928_122307.html","Open report")</f>
      </c>
      <c r="U99" s="155"/>
      <c r="V99" s="155"/>
      <c r="W99" s="155"/>
      <c r="X99" s="155"/>
      <c r="Y99" s="155"/>
      <c r="Z99" s="155"/>
    </row>
    <row r="100" ht="15.0" customHeight="true">
      <c r="A100" s="183" t="s">
        <v>3750</v>
      </c>
      <c r="B100" s="183" t="s">
        <v>3751</v>
      </c>
      <c r="C100" s="183" t="s">
        <v>3752</v>
      </c>
      <c r="D100" s="183" t="s">
        <v>3583</v>
      </c>
      <c r="E100" s="183" t="s">
        <v>3753</v>
      </c>
      <c r="F100" s="183" t="s">
        <v>3754</v>
      </c>
      <c r="G100" s="183" t="s">
        <v>3755</v>
      </c>
      <c r="H100" s="183" t="s">
        <v>2959</v>
      </c>
      <c r="I100" s="184" t="s">
        <v>3756</v>
      </c>
      <c r="J100" s="183" t="s">
        <v>226</v>
      </c>
      <c r="K100" s="183" t="s">
        <v>225</v>
      </c>
      <c r="L100" s="185" t="s">
        <v>3199</v>
      </c>
      <c r="M100" s="155"/>
      <c r="N100" s="155"/>
      <c r="O100" s="155"/>
      <c r="P100" s="155"/>
      <c r="Q100" s="186" t="b">
        <v>0</v>
      </c>
      <c r="R100" s="185" t="s">
        <v>226</v>
      </c>
      <c r="S100" s="187" t="n">
        <v>46293.58721064815</v>
      </c>
      <c r="T100" s="188">
        <f>HYPERLINK("http://localhost:8844/AdminKuakeAutomationReport_20260928_122307.html","Open report")</f>
      </c>
      <c r="U100" s="155"/>
      <c r="V100" s="155"/>
      <c r="W100" s="155"/>
      <c r="X100" s="155"/>
      <c r="Y100" s="155"/>
      <c r="Z100" s="155"/>
    </row>
    <row r="101" ht="15.0" customHeight="true">
      <c r="A101" s="183" t="s">
        <v>3757</v>
      </c>
      <c r="B101" s="183" t="s">
        <v>3758</v>
      </c>
      <c r="C101" s="183" t="s">
        <v>3759</v>
      </c>
      <c r="D101" s="183" t="s">
        <v>3583</v>
      </c>
      <c r="E101" s="183" t="s">
        <v>3760</v>
      </c>
      <c r="F101" s="183" t="s">
        <v>3761</v>
      </c>
      <c r="G101" s="183" t="s">
        <v>3755</v>
      </c>
      <c r="H101" s="183" t="s">
        <v>2959</v>
      </c>
      <c r="I101" s="184" t="s">
        <v>3756</v>
      </c>
      <c r="J101" s="183" t="s">
        <v>226</v>
      </c>
      <c r="K101" s="183" t="s">
        <v>225</v>
      </c>
      <c r="L101" s="185" t="s">
        <v>3199</v>
      </c>
      <c r="M101" s="155"/>
      <c r="N101" s="155"/>
      <c r="O101" s="155"/>
      <c r="P101" s="155"/>
      <c r="Q101" s="186" t="b">
        <v>0</v>
      </c>
      <c r="R101" s="185" t="s">
        <v>226</v>
      </c>
      <c r="S101" s="187" t="n">
        <v>46293.62096064815</v>
      </c>
      <c r="T101" s="188">
        <f>HYPERLINK("http://localhost:8844/AdminKuakeAutomationReport_20260928_122307.html","Open report")</f>
      </c>
      <c r="U101" s="155"/>
      <c r="V101" s="155"/>
      <c r="W101" s="155"/>
      <c r="X101" s="155"/>
      <c r="Y101" s="155"/>
      <c r="Z101" s="155"/>
    </row>
    <row r="102" ht="15.0" customHeight="true">
      <c r="A102" s="183" t="s">
        <v>3762</v>
      </c>
      <c r="B102" s="183" t="s">
        <v>3763</v>
      </c>
      <c r="C102" s="183" t="s">
        <v>3764</v>
      </c>
      <c r="D102" s="183" t="s">
        <v>3583</v>
      </c>
      <c r="E102" s="183" t="s">
        <v>3765</v>
      </c>
      <c r="F102" s="183" t="s">
        <v>3766</v>
      </c>
      <c r="G102" s="183" t="s">
        <v>3767</v>
      </c>
      <c r="H102" s="183" t="s">
        <v>2959</v>
      </c>
      <c r="I102" s="184" t="s">
        <v>3756</v>
      </c>
      <c r="J102" s="183" t="s">
        <v>226</v>
      </c>
      <c r="K102" s="183" t="s">
        <v>227</v>
      </c>
      <c r="L102" s="185" t="s">
        <v>3199</v>
      </c>
      <c r="M102" s="155"/>
      <c r="N102" s="155"/>
      <c r="O102" s="155"/>
      <c r="P102" s="155"/>
      <c r="Q102" s="186" t="b">
        <v>0</v>
      </c>
      <c r="R102" s="185" t="s">
        <v>226</v>
      </c>
      <c r="S102" s="187" t="n">
        <v>46293.61548611111</v>
      </c>
      <c r="T102" s="188">
        <f>HYPERLINK("http://localhost:8844/AdminKuakeAutomationReport_20260928_122307.html","Open report")</f>
      </c>
      <c r="U102" s="155"/>
      <c r="V102" s="155"/>
      <c r="W102" s="155"/>
      <c r="X102" s="155"/>
      <c r="Y102" s="155"/>
      <c r="Z102" s="155"/>
    </row>
    <row r="103" ht="15.0" customHeight="true">
      <c r="A103" s="183" t="s">
        <v>3768</v>
      </c>
      <c r="B103" s="183" t="s">
        <v>3769</v>
      </c>
      <c r="C103" s="183" t="s">
        <v>3770</v>
      </c>
      <c r="D103" s="183" t="s">
        <v>3583</v>
      </c>
      <c r="E103" s="183" t="s">
        <v>3771</v>
      </c>
      <c r="F103" s="183" t="s">
        <v>3772</v>
      </c>
      <c r="G103" s="183" t="s">
        <v>3773</v>
      </c>
      <c r="H103" s="183" t="s">
        <v>2959</v>
      </c>
      <c r="I103" s="184" t="s">
        <v>3774</v>
      </c>
      <c r="J103" s="183" t="s">
        <v>226</v>
      </c>
      <c r="K103" s="183" t="s">
        <v>225</v>
      </c>
      <c r="L103" s="185" t="s">
        <v>3199</v>
      </c>
      <c r="M103" s="155"/>
      <c r="N103" s="155"/>
      <c r="O103" s="155"/>
      <c r="P103" s="155"/>
      <c r="Q103" s="186" t="b">
        <v>0</v>
      </c>
      <c r="R103" s="185" t="s">
        <v>226</v>
      </c>
      <c r="S103" s="187" t="n">
        <v>46293.61938657407</v>
      </c>
      <c r="T103" s="188">
        <f>HYPERLINK("http://localhost:8844/AdminKuakeAutomationReport_20260928_122307.html","Open report")</f>
      </c>
      <c r="U103" s="155"/>
      <c r="V103" s="155"/>
      <c r="W103" s="155"/>
      <c r="X103" s="155"/>
      <c r="Y103" s="155"/>
      <c r="Z103" s="155"/>
    </row>
    <row r="104" ht="15.0" customHeight="true">
      <c r="A104" s="183" t="s">
        <v>3775</v>
      </c>
      <c r="B104" s="183" t="s">
        <v>3776</v>
      </c>
      <c r="C104" s="183" t="s">
        <v>3777</v>
      </c>
      <c r="D104" s="183" t="s">
        <v>3616</v>
      </c>
      <c r="E104" s="183" t="s">
        <v>3778</v>
      </c>
      <c r="F104" s="183" t="s">
        <v>3779</v>
      </c>
      <c r="G104" s="183" t="s">
        <v>3780</v>
      </c>
      <c r="H104" s="183" t="s">
        <v>2959</v>
      </c>
      <c r="I104" s="184" t="s">
        <v>3781</v>
      </c>
      <c r="J104" s="183" t="s">
        <v>226</v>
      </c>
      <c r="K104" s="183" t="s">
        <v>225</v>
      </c>
      <c r="L104" s="185" t="s">
        <v>3199</v>
      </c>
      <c r="M104" s="155"/>
      <c r="N104" s="155"/>
      <c r="O104" s="155"/>
      <c r="P104" s="155"/>
      <c r="Q104" s="186" t="b">
        <v>0</v>
      </c>
      <c r="R104" s="185" t="s">
        <v>226</v>
      </c>
      <c r="S104" s="187" t="n">
        <v>46293.607407407406</v>
      </c>
      <c r="T104" s="188">
        <f>HYPERLINK("http://localhost:8844/AdminKuakeAutomationReport_20260928_122307.html","Open report")</f>
      </c>
      <c r="U104" s="155"/>
      <c r="V104" s="155"/>
      <c r="W104" s="155"/>
      <c r="X104" s="155"/>
      <c r="Y104" s="155"/>
      <c r="Z104" s="155"/>
    </row>
    <row r="105" ht="15.0" customHeight="true">
      <c r="A105" s="183" t="s">
        <v>3782</v>
      </c>
      <c r="B105" s="183" t="s">
        <v>3783</v>
      </c>
      <c r="C105" s="183" t="s">
        <v>3784</v>
      </c>
      <c r="D105" s="183" t="s">
        <v>3616</v>
      </c>
      <c r="E105" s="183" t="s">
        <v>3785</v>
      </c>
      <c r="F105" s="183" t="s">
        <v>2959</v>
      </c>
      <c r="G105" s="183" t="s">
        <v>3786</v>
      </c>
      <c r="H105" s="183" t="s">
        <v>2959</v>
      </c>
      <c r="I105" s="184" t="s">
        <v>3787</v>
      </c>
      <c r="J105" s="183" t="s">
        <v>226</v>
      </c>
      <c r="K105" s="183" t="s">
        <v>225</v>
      </c>
      <c r="L105" s="185" t="s">
        <v>3199</v>
      </c>
      <c r="M105" s="155"/>
      <c r="N105" s="155"/>
      <c r="O105" s="155"/>
      <c r="P105" s="155"/>
      <c r="Q105" s="186" t="b">
        <v>0</v>
      </c>
      <c r="R105" s="185" t="s">
        <v>226</v>
      </c>
      <c r="S105" s="187" t="n">
        <v>46293.6062962963</v>
      </c>
      <c r="T105" s="188">
        <f>HYPERLINK("http://localhost:8844/AdminKuakeAutomationReport_20260928_122307.html","Open report")</f>
      </c>
      <c r="U105" s="155"/>
      <c r="V105" s="155"/>
      <c r="W105" s="155"/>
      <c r="X105" s="155"/>
      <c r="Y105" s="155"/>
      <c r="Z105" s="155"/>
    </row>
    <row r="106" ht="15.0" customHeight="true">
      <c r="A106" s="183" t="s">
        <v>3788</v>
      </c>
      <c r="B106" s="183" t="s">
        <v>3789</v>
      </c>
      <c r="C106" s="183" t="s">
        <v>3790</v>
      </c>
      <c r="D106" s="183" t="s">
        <v>3616</v>
      </c>
      <c r="E106" s="183" t="s">
        <v>3533</v>
      </c>
      <c r="F106" s="183" t="s">
        <v>3791</v>
      </c>
      <c r="G106" s="183" t="s">
        <v>3792</v>
      </c>
      <c r="H106" s="183" t="s">
        <v>2959</v>
      </c>
      <c r="I106" s="184" t="s">
        <v>3793</v>
      </c>
      <c r="J106" s="183" t="s">
        <v>226</v>
      </c>
      <c r="K106" s="183" t="s">
        <v>227</v>
      </c>
      <c r="L106" s="185" t="s">
        <v>3199</v>
      </c>
      <c r="M106" s="155"/>
      <c r="N106" s="155"/>
      <c r="O106" s="155"/>
      <c r="P106" s="155"/>
      <c r="Q106" s="186" t="b">
        <v>0</v>
      </c>
      <c r="R106" s="185" t="s">
        <v>226</v>
      </c>
      <c r="S106" s="187" t="n">
        <v>46293.52363425926</v>
      </c>
      <c r="T106" s="188">
        <f>HYPERLINK("http://localhost:8844/AdminKuakeAutomationReport_20260928_122307.html","Open report")</f>
      </c>
      <c r="U106" s="155"/>
      <c r="V106" s="155"/>
      <c r="W106" s="155"/>
      <c r="X106" s="155"/>
      <c r="Y106" s="155"/>
      <c r="Z106" s="155"/>
    </row>
    <row r="107" ht="15.0" customHeight="true">
      <c r="A107" s="197" t="s">
        <v>3794</v>
      </c>
      <c r="B107" s="183" t="s">
        <v>3795</v>
      </c>
      <c r="C107" s="183" t="s">
        <v>3796</v>
      </c>
      <c r="D107" s="183" t="s">
        <v>3645</v>
      </c>
      <c r="E107" s="183" t="s">
        <v>3797</v>
      </c>
      <c r="F107" s="183" t="s">
        <v>3798</v>
      </c>
      <c r="G107" s="183" t="s">
        <v>3799</v>
      </c>
      <c r="H107" s="183" t="s">
        <v>2959</v>
      </c>
      <c r="I107" s="184" t="s">
        <v>3800</v>
      </c>
      <c r="J107" s="183" t="s">
        <v>226</v>
      </c>
      <c r="K107" s="183" t="s">
        <v>227</v>
      </c>
      <c r="L107" s="185" t="s">
        <v>3199</v>
      </c>
      <c r="M107" s="155"/>
      <c r="N107" s="155"/>
      <c r="O107" s="155"/>
      <c r="P107" s="155"/>
      <c r="Q107" s="186" t="b">
        <v>0</v>
      </c>
      <c r="R107" s="185" t="s">
        <v>226</v>
      </c>
      <c r="S107" s="187" t="n">
        <v>46293.5228587963</v>
      </c>
      <c r="T107" s="188">
        <f>HYPERLINK("http://localhost:8844/AdminKuakeAutomationReport_20260928_122307.html","Open report")</f>
      </c>
      <c r="U107" s="155"/>
      <c r="V107" s="155"/>
      <c r="W107" s="155"/>
      <c r="X107" s="155"/>
      <c r="Y107" s="155"/>
      <c r="Z107" s="155"/>
    </row>
    <row r="108" ht="15.0" customHeight="true">
      <c r="A108" s="201" t="s">
        <v>3801</v>
      </c>
      <c r="B108" s="183" t="s">
        <v>3802</v>
      </c>
      <c r="C108" s="183" t="s">
        <v>3803</v>
      </c>
      <c r="D108" s="183" t="s">
        <v>3630</v>
      </c>
      <c r="E108" s="183" t="s">
        <v>3804</v>
      </c>
      <c r="F108" s="183" t="s">
        <v>3577</v>
      </c>
      <c r="G108" s="183" t="s">
        <v>3805</v>
      </c>
      <c r="H108" s="183" t="s">
        <v>3444</v>
      </c>
      <c r="I108" s="184" t="s">
        <v>3726</v>
      </c>
      <c r="J108" s="183" t="s">
        <v>226</v>
      </c>
      <c r="K108" s="183" t="s">
        <v>225</v>
      </c>
      <c r="L108" s="185" t="s">
        <v>3199</v>
      </c>
      <c r="M108" s="155"/>
      <c r="N108" s="155"/>
      <c r="O108" s="155"/>
      <c r="P108" s="155"/>
      <c r="Q108" s="186" t="b">
        <v>0</v>
      </c>
      <c r="R108" s="185" t="s">
        <v>226</v>
      </c>
      <c r="S108" s="187" t="n">
        <v>46293.59931712963</v>
      </c>
      <c r="T108" s="188">
        <f>HYPERLINK("http://localhost:8844/AdminKuakeAutomationReport_20260928_122307.html","Open report")</f>
      </c>
      <c r="U108" s="155"/>
      <c r="V108" s="155"/>
      <c r="W108" s="155"/>
      <c r="X108" s="155"/>
      <c r="Y108" s="155"/>
      <c r="Z108" s="155"/>
    </row>
    <row r="109" ht="15.0" customHeight="true">
      <c r="A109" s="201" t="s">
        <v>3806</v>
      </c>
      <c r="B109" s="183" t="s">
        <v>3807</v>
      </c>
      <c r="C109" s="183" t="s">
        <v>3808</v>
      </c>
      <c r="D109" s="183" t="s">
        <v>3630</v>
      </c>
      <c r="E109" s="183" t="s">
        <v>3809</v>
      </c>
      <c r="F109" s="183" t="s">
        <v>3577</v>
      </c>
      <c r="G109" s="199" t="s">
        <v>3810</v>
      </c>
      <c r="H109" s="183" t="s">
        <v>2959</v>
      </c>
      <c r="I109" s="184" t="s">
        <v>3811</v>
      </c>
      <c r="J109" s="183" t="s">
        <v>226</v>
      </c>
      <c r="K109" s="183" t="s">
        <v>227</v>
      </c>
      <c r="L109" s="185" t="s">
        <v>3199</v>
      </c>
      <c r="M109" s="155"/>
      <c r="N109" s="155"/>
      <c r="O109" s="155"/>
      <c r="P109" s="155"/>
      <c r="Q109" s="186" t="b">
        <v>0</v>
      </c>
      <c r="R109" s="185" t="s">
        <v>226</v>
      </c>
      <c r="S109" s="187" t="n">
        <v>46293.59982638889</v>
      </c>
      <c r="T109" s="188">
        <f>HYPERLINK("http://localhost:8844/AdminKuakeAutomationReport_20260928_122307.html","Open report")</f>
      </c>
      <c r="U109" s="155"/>
      <c r="V109" s="155"/>
      <c r="W109" s="155"/>
      <c r="X109" s="155"/>
      <c r="Y109" s="155"/>
      <c r="Z109" s="155"/>
    </row>
    <row r="110" ht="15.0" customHeight="true">
      <c r="A110" s="176" t="s">
        <v>3812</v>
      </c>
      <c r="B110" s="177"/>
      <c r="C110" s="177"/>
      <c r="D110" s="177"/>
      <c r="E110" s="177"/>
      <c r="F110" s="177"/>
      <c r="G110" s="177"/>
      <c r="H110" s="177"/>
      <c r="I110" s="177"/>
      <c r="J110" s="177"/>
      <c r="K110" s="178"/>
      <c r="L110" s="155"/>
      <c r="M110" s="155"/>
      <c r="N110" s="155"/>
      <c r="O110" s="155"/>
      <c r="P110" s="155"/>
      <c r="Q110" s="155"/>
      <c r="R110" s="155"/>
      <c r="S110" s="155"/>
      <c r="T110" s="155"/>
      <c r="U110" s="155"/>
      <c r="V110" s="155"/>
      <c r="W110" s="155"/>
      <c r="X110" s="155"/>
      <c r="Y110" s="155"/>
      <c r="Z110" s="155"/>
    </row>
    <row r="111" ht="15.0" customHeight="true">
      <c r="A111" s="194" t="s">
        <v>3813</v>
      </c>
      <c r="B111" s="195"/>
      <c r="C111" s="195"/>
      <c r="D111" s="195"/>
      <c r="E111" s="195"/>
      <c r="F111" s="195"/>
      <c r="G111" s="195"/>
      <c r="H111" s="195"/>
      <c r="I111" s="195"/>
      <c r="J111" s="195"/>
      <c r="K111" s="196"/>
      <c r="L111" s="155"/>
      <c r="M111" s="155"/>
      <c r="N111" s="155"/>
      <c r="O111" s="155"/>
      <c r="P111" s="155"/>
      <c r="Q111" s="155"/>
      <c r="R111" s="155"/>
      <c r="S111" s="155"/>
      <c r="T111" s="155"/>
      <c r="U111" s="155"/>
      <c r="V111" s="155"/>
      <c r="W111" s="155"/>
      <c r="X111" s="155"/>
      <c r="Y111" s="155"/>
      <c r="Z111" s="155"/>
    </row>
    <row r="112" ht="15.0" customHeight="true">
      <c r="A112" s="179" t="s">
        <v>3351</v>
      </c>
      <c r="B112" s="180"/>
      <c r="C112" s="180"/>
      <c r="D112" s="180"/>
      <c r="E112" s="180"/>
      <c r="F112" s="180"/>
      <c r="G112" s="180"/>
      <c r="H112" s="180"/>
      <c r="I112" s="180"/>
      <c r="J112" s="180"/>
      <c r="K112" s="181"/>
      <c r="L112" s="155"/>
      <c r="M112" s="155"/>
      <c r="N112" s="155"/>
      <c r="O112" s="155"/>
      <c r="P112" s="155"/>
      <c r="Q112" s="155"/>
      <c r="R112" s="155"/>
      <c r="S112" s="155"/>
      <c r="T112" s="155"/>
      <c r="U112" s="155"/>
      <c r="V112" s="155"/>
      <c r="W112" s="155"/>
      <c r="X112" s="155"/>
      <c r="Y112" s="155"/>
      <c r="Z112" s="155"/>
    </row>
    <row r="113" ht="15.0" customHeight="true">
      <c r="A113" s="197" t="s">
        <v>3814</v>
      </c>
      <c r="B113" s="183" t="s">
        <v>3815</v>
      </c>
      <c r="C113" s="183" t="s">
        <v>3816</v>
      </c>
      <c r="D113" s="183" t="s">
        <v>3817</v>
      </c>
      <c r="E113" s="183" t="s">
        <v>3818</v>
      </c>
      <c r="F113" s="183" t="s">
        <v>2959</v>
      </c>
      <c r="G113" s="183" t="s">
        <v>3819</v>
      </c>
      <c r="H113" s="183" t="s">
        <v>2959</v>
      </c>
      <c r="I113" s="184" t="s">
        <v>3820</v>
      </c>
      <c r="J113" s="183" t="s">
        <v>226</v>
      </c>
      <c r="K113" s="183" t="s">
        <v>225</v>
      </c>
      <c r="L113" s="185" t="s">
        <v>3199</v>
      </c>
      <c r="M113" s="155"/>
      <c r="N113" s="155"/>
      <c r="O113" s="155"/>
      <c r="P113" s="155"/>
      <c r="Q113" s="186" t="b">
        <v>0</v>
      </c>
      <c r="R113" s="185" t="s">
        <v>226</v>
      </c>
      <c r="S113" s="187" t="n">
        <v>46293.58493055555</v>
      </c>
      <c r="T113" s="188">
        <f>HYPERLINK("http://localhost:8844/AdminKuakeAutomationReport_20260928_122307.html","Open report")</f>
      </c>
      <c r="U113" s="155"/>
      <c r="V113" s="155"/>
      <c r="W113" s="155"/>
      <c r="X113" s="155"/>
      <c r="Y113" s="155"/>
      <c r="Z113" s="155"/>
    </row>
    <row r="114" ht="15.0" customHeight="true">
      <c r="A114" s="183" t="s">
        <v>3821</v>
      </c>
      <c r="B114" s="183" t="s">
        <v>3822</v>
      </c>
      <c r="C114" s="183" t="s">
        <v>3823</v>
      </c>
      <c r="D114" s="183" t="s">
        <v>3824</v>
      </c>
      <c r="E114" s="183" t="s">
        <v>3825</v>
      </c>
      <c r="F114" s="183" t="s">
        <v>3826</v>
      </c>
      <c r="G114" s="183" t="s">
        <v>3827</v>
      </c>
      <c r="H114" s="183" t="s">
        <v>3828</v>
      </c>
      <c r="I114" s="184" t="s">
        <v>3829</v>
      </c>
      <c r="J114" s="183" t="s">
        <v>226</v>
      </c>
      <c r="K114" s="183" t="s">
        <v>225</v>
      </c>
      <c r="L114" s="185" t="s">
        <v>3199</v>
      </c>
      <c r="M114" s="155"/>
      <c r="N114" s="155"/>
      <c r="O114" s="155"/>
      <c r="P114" s="155"/>
      <c r="Q114" s="186" t="b">
        <v>0</v>
      </c>
      <c r="R114" s="185" t="s">
        <v>226</v>
      </c>
      <c r="S114" s="187" t="n">
        <v>46293.58657407408</v>
      </c>
      <c r="T114" s="188">
        <f>HYPERLINK("http://localhost:8844/AdminKuakeAutomationReport_20260928_122307.html","Open report")</f>
      </c>
      <c r="U114" s="155"/>
      <c r="V114" s="155"/>
      <c r="W114" s="155"/>
      <c r="X114" s="155"/>
      <c r="Y114" s="155"/>
      <c r="Z114" s="155"/>
    </row>
    <row r="115" ht="15.0" customHeight="true">
      <c r="A115" s="183" t="s">
        <v>3830</v>
      </c>
      <c r="B115" s="183" t="s">
        <v>3831</v>
      </c>
      <c r="C115" s="183" t="s">
        <v>3832</v>
      </c>
      <c r="D115" s="183" t="s">
        <v>3833</v>
      </c>
      <c r="E115" s="183" t="s">
        <v>3834</v>
      </c>
      <c r="F115" s="183" t="s">
        <v>3835</v>
      </c>
      <c r="G115" s="183" t="s">
        <v>3836</v>
      </c>
      <c r="H115" s="183" t="s">
        <v>3828</v>
      </c>
      <c r="I115" s="184" t="s">
        <v>3837</v>
      </c>
      <c r="J115" s="183" t="s">
        <v>226</v>
      </c>
      <c r="K115" s="183" t="s">
        <v>229</v>
      </c>
      <c r="L115" s="185" t="s">
        <v>3199</v>
      </c>
      <c r="M115" s="155"/>
      <c r="N115" s="155"/>
      <c r="O115" s="155"/>
      <c r="P115" s="155"/>
      <c r="Q115" s="186" t="b">
        <v>0</v>
      </c>
      <c r="R115" s="185" t="s">
        <v>226</v>
      </c>
      <c r="S115" s="187" t="n">
        <v>46293.518854166665</v>
      </c>
      <c r="T115" s="188">
        <f>HYPERLINK("http://localhost:8844/AdminKuakeAutomationReport_20260928_122307.html","Open report")</f>
      </c>
      <c r="U115" s="155"/>
      <c r="V115" s="155"/>
      <c r="W115" s="155"/>
      <c r="X115" s="155"/>
      <c r="Y115" s="155"/>
      <c r="Z115" s="155"/>
    </row>
    <row r="116" ht="15.0" customHeight="true">
      <c r="A116" s="183" t="s">
        <v>3838</v>
      </c>
      <c r="B116" s="183" t="s">
        <v>3839</v>
      </c>
      <c r="C116" s="183" t="s">
        <v>3840</v>
      </c>
      <c r="D116" s="183" t="s">
        <v>3824</v>
      </c>
      <c r="E116" s="183" t="s">
        <v>3841</v>
      </c>
      <c r="F116" s="183" t="s">
        <v>2959</v>
      </c>
      <c r="G116" s="183" t="s">
        <v>3842</v>
      </c>
      <c r="H116" s="183" t="s">
        <v>3828</v>
      </c>
      <c r="I116" s="184" t="s">
        <v>3843</v>
      </c>
      <c r="J116" s="183" t="s">
        <v>226</v>
      </c>
      <c r="K116" s="183" t="s">
        <v>229</v>
      </c>
      <c r="L116" s="185" t="s">
        <v>3199</v>
      </c>
      <c r="M116" s="155"/>
      <c r="N116" s="155"/>
      <c r="O116" s="155"/>
      <c r="P116" s="155"/>
      <c r="Q116" s="186" t="b">
        <v>0</v>
      </c>
      <c r="R116" s="185" t="s">
        <v>226</v>
      </c>
      <c r="S116" s="187" t="n">
        <v>46293.57100694445</v>
      </c>
      <c r="T116" s="188">
        <f>HYPERLINK("http://localhost:8844/AdminKuakeAutomationReport_20260928_122307.html","Open report")</f>
      </c>
      <c r="U116" s="155"/>
      <c r="V116" s="155"/>
      <c r="W116" s="155"/>
      <c r="X116" s="155"/>
      <c r="Y116" s="155"/>
      <c r="Z116" s="155"/>
    </row>
    <row r="117" ht="15.0" customHeight="true">
      <c r="A117" s="183" t="s">
        <v>3844</v>
      </c>
      <c r="B117" s="183" t="s">
        <v>3419</v>
      </c>
      <c r="C117" s="183" t="s">
        <v>3845</v>
      </c>
      <c r="D117" s="183" t="s">
        <v>3824</v>
      </c>
      <c r="E117" s="183" t="s">
        <v>3846</v>
      </c>
      <c r="F117" s="183" t="s">
        <v>3847</v>
      </c>
      <c r="G117" s="183" t="s">
        <v>3848</v>
      </c>
      <c r="H117" s="183" t="s">
        <v>3828</v>
      </c>
      <c r="I117" s="184" t="s">
        <v>3849</v>
      </c>
      <c r="J117" s="183" t="s">
        <v>226</v>
      </c>
      <c r="K117" s="183" t="s">
        <v>227</v>
      </c>
      <c r="L117" s="185" t="s">
        <v>3199</v>
      </c>
      <c r="M117" s="155"/>
      <c r="N117" s="155"/>
      <c r="O117" s="155"/>
      <c r="P117" s="155"/>
      <c r="Q117" s="186" t="b">
        <v>0</v>
      </c>
      <c r="R117" s="185" t="s">
        <v>226</v>
      </c>
      <c r="S117" s="187" t="n">
        <v>46293.60973379629</v>
      </c>
      <c r="T117" s="188">
        <f>HYPERLINK("http://localhost:8844/AdminKuakeAutomationReport_20260928_122307.html","Open report")</f>
      </c>
      <c r="U117" s="155"/>
      <c r="V117" s="155"/>
      <c r="W117" s="155"/>
      <c r="X117" s="155"/>
      <c r="Y117" s="155"/>
      <c r="Z117" s="155"/>
    </row>
    <row r="118" ht="15.0" customHeight="true">
      <c r="A118" s="183" t="s">
        <v>3850</v>
      </c>
      <c r="B118" s="183" t="s">
        <v>3851</v>
      </c>
      <c r="C118" s="183" t="s">
        <v>3852</v>
      </c>
      <c r="D118" s="183" t="s">
        <v>3824</v>
      </c>
      <c r="E118" s="183" t="s">
        <v>3853</v>
      </c>
      <c r="F118" s="183" t="s">
        <v>2959</v>
      </c>
      <c r="G118" s="183" t="s">
        <v>3854</v>
      </c>
      <c r="H118" s="183" t="s">
        <v>3828</v>
      </c>
      <c r="I118" s="184" t="s">
        <v>3855</v>
      </c>
      <c r="J118" s="183" t="s">
        <v>226</v>
      </c>
      <c r="K118" s="183" t="s">
        <v>225</v>
      </c>
      <c r="L118" s="185" t="s">
        <v>3199</v>
      </c>
      <c r="M118" s="155"/>
      <c r="N118" s="155"/>
      <c r="O118" s="155"/>
      <c r="P118" s="155"/>
      <c r="Q118" s="186" t="b">
        <v>0</v>
      </c>
      <c r="R118" s="185" t="s">
        <v>226</v>
      </c>
      <c r="S118" s="187" t="n">
        <v>46293.56927083333</v>
      </c>
      <c r="T118" s="188">
        <f>HYPERLINK("http://localhost:8844/AdminKuakeAutomationReport_20260928_122307.html","Open report")</f>
      </c>
      <c r="U118" s="155"/>
      <c r="V118" s="155"/>
      <c r="W118" s="155"/>
      <c r="X118" s="155"/>
      <c r="Y118" s="155"/>
      <c r="Z118" s="155"/>
    </row>
    <row r="119" ht="15.0" customHeight="true">
      <c r="A119" s="183" t="s">
        <v>3856</v>
      </c>
      <c r="B119" s="183" t="s">
        <v>3857</v>
      </c>
      <c r="C119" s="183" t="s">
        <v>3858</v>
      </c>
      <c r="D119" s="183" t="s">
        <v>3824</v>
      </c>
      <c r="E119" s="183" t="s">
        <v>3859</v>
      </c>
      <c r="F119" s="183" t="s">
        <v>3860</v>
      </c>
      <c r="G119" s="183" t="s">
        <v>3861</v>
      </c>
      <c r="H119" s="183" t="s">
        <v>3828</v>
      </c>
      <c r="I119" s="184" t="s">
        <v>3862</v>
      </c>
      <c r="J119" s="183" t="s">
        <v>226</v>
      </c>
      <c r="K119" s="183" t="s">
        <v>227</v>
      </c>
      <c r="L119" s="185" t="s">
        <v>3199</v>
      </c>
      <c r="M119" s="155"/>
      <c r="N119" s="155"/>
      <c r="O119" s="155"/>
      <c r="P119" s="155"/>
      <c r="Q119" s="186" t="b">
        <v>0</v>
      </c>
      <c r="R119" s="185" t="s">
        <v>226</v>
      </c>
      <c r="S119" s="187" t="n">
        <v>46293.56761574074</v>
      </c>
      <c r="T119" s="188">
        <f>HYPERLINK("http://localhost:8844/AdminKuakeAutomationReport_20260928_122307.html","Open report")</f>
      </c>
      <c r="U119" s="155"/>
      <c r="V119" s="155"/>
      <c r="W119" s="155"/>
      <c r="X119" s="155"/>
      <c r="Y119" s="155"/>
      <c r="Z119" s="155"/>
    </row>
    <row r="120" ht="15.0" customHeight="true">
      <c r="A120" s="183" t="s">
        <v>3863</v>
      </c>
      <c r="B120" s="183" t="s">
        <v>3864</v>
      </c>
      <c r="C120" s="183" t="s">
        <v>3865</v>
      </c>
      <c r="D120" s="183" t="s">
        <v>3824</v>
      </c>
      <c r="E120" s="183" t="s">
        <v>3866</v>
      </c>
      <c r="F120" s="183" t="s">
        <v>2959</v>
      </c>
      <c r="G120" s="183" t="s">
        <v>3867</v>
      </c>
      <c r="H120" s="183" t="s">
        <v>2959</v>
      </c>
      <c r="I120" s="184" t="s">
        <v>3868</v>
      </c>
      <c r="J120" s="183" t="s">
        <v>226</v>
      </c>
      <c r="K120" s="183" t="s">
        <v>229</v>
      </c>
      <c r="L120" s="185" t="s">
        <v>3199</v>
      </c>
      <c r="M120" s="155"/>
      <c r="N120" s="155"/>
      <c r="O120" s="155"/>
      <c r="P120" s="155"/>
      <c r="Q120" s="186" t="b">
        <v>0</v>
      </c>
      <c r="R120" s="185" t="s">
        <v>226</v>
      </c>
      <c r="S120" s="187" t="n">
        <v>46293.61305555556</v>
      </c>
      <c r="T120" s="188">
        <f>HYPERLINK("http://localhost:8844/AdminKuakeAutomationReport_20260928_122307.html","Open report")</f>
      </c>
      <c r="U120" s="155"/>
      <c r="V120" s="155"/>
      <c r="W120" s="155"/>
      <c r="X120" s="155"/>
      <c r="Y120" s="155"/>
      <c r="Z120" s="155"/>
    </row>
    <row r="121" ht="15.0" customHeight="true">
      <c r="A121" s="183" t="s">
        <v>3869</v>
      </c>
      <c r="B121" s="183" t="s">
        <v>3870</v>
      </c>
      <c r="C121" s="183" t="s">
        <v>3871</v>
      </c>
      <c r="D121" s="183" t="s">
        <v>3824</v>
      </c>
      <c r="E121" s="183" t="s">
        <v>3872</v>
      </c>
      <c r="F121" s="183" t="s">
        <v>2959</v>
      </c>
      <c r="G121" s="183" t="s">
        <v>3873</v>
      </c>
      <c r="H121" s="183" t="s">
        <v>3334</v>
      </c>
      <c r="I121" s="184" t="s">
        <v>3874</v>
      </c>
      <c r="J121" s="183" t="s">
        <v>226</v>
      </c>
      <c r="K121" s="183" t="s">
        <v>227</v>
      </c>
      <c r="L121" s="185" t="s">
        <v>3199</v>
      </c>
      <c r="M121" s="155"/>
      <c r="N121" s="155"/>
      <c r="O121" s="155"/>
      <c r="P121" s="155"/>
      <c r="Q121" s="186" t="b">
        <v>0</v>
      </c>
      <c r="R121" s="185" t="s">
        <v>226</v>
      </c>
      <c r="S121" s="187" t="n">
        <v>46293.554375</v>
      </c>
      <c r="T121" s="188">
        <f>HYPERLINK("http://localhost:8844/AdminKuakeAutomationReport_20260928_122307.html","Open report")</f>
      </c>
      <c r="U121" s="155"/>
      <c r="V121" s="155"/>
      <c r="W121" s="155"/>
      <c r="X121" s="155"/>
      <c r="Y121" s="155"/>
      <c r="Z121" s="155"/>
    </row>
    <row r="122" ht="15.0" customHeight="true">
      <c r="A122" s="191" t="s">
        <v>3452</v>
      </c>
      <c r="B122" s="192"/>
      <c r="C122" s="192"/>
      <c r="D122" s="192"/>
      <c r="E122" s="192"/>
      <c r="F122" s="192"/>
      <c r="G122" s="192"/>
      <c r="H122" s="192"/>
      <c r="I122" s="192"/>
      <c r="J122" s="192"/>
      <c r="K122" s="193"/>
      <c r="L122" s="155"/>
      <c r="M122" s="155"/>
      <c r="N122" s="155"/>
      <c r="O122" s="155"/>
      <c r="P122" s="155"/>
      <c r="Q122" s="155"/>
      <c r="R122" s="155"/>
      <c r="S122" s="155"/>
      <c r="T122" s="155"/>
      <c r="U122" s="155"/>
      <c r="V122" s="155"/>
      <c r="W122" s="155"/>
      <c r="X122" s="155"/>
      <c r="Y122" s="155"/>
      <c r="Z122" s="155"/>
    </row>
    <row r="123" ht="15.0" customHeight="true">
      <c r="A123" s="183" t="s">
        <v>3875</v>
      </c>
      <c r="B123" s="183" t="s">
        <v>3876</v>
      </c>
      <c r="C123" s="183" t="s">
        <v>3877</v>
      </c>
      <c r="D123" s="183" t="s">
        <v>3824</v>
      </c>
      <c r="E123" s="183" t="s">
        <v>3878</v>
      </c>
      <c r="F123" s="183" t="s">
        <v>3879</v>
      </c>
      <c r="G123" s="183" t="s">
        <v>3880</v>
      </c>
      <c r="H123" s="183" t="s">
        <v>3334</v>
      </c>
      <c r="I123" s="184" t="s">
        <v>3726</v>
      </c>
      <c r="J123" s="183" t="s">
        <v>226</v>
      </c>
      <c r="K123" s="183" t="s">
        <v>225</v>
      </c>
      <c r="L123" s="185" t="s">
        <v>3199</v>
      </c>
      <c r="M123" s="155"/>
      <c r="N123" s="155"/>
      <c r="O123" s="155"/>
      <c r="P123" s="155"/>
      <c r="Q123" s="186" t="b">
        <v>0</v>
      </c>
      <c r="R123" s="185" t="s">
        <v>226</v>
      </c>
      <c r="S123" s="187" t="n">
        <v>46293.58262731481</v>
      </c>
      <c r="T123" s="188">
        <f>HYPERLINK("http://localhost:8844/AdminKuakeAutomationReport_20260928_122307.html","Open report")</f>
      </c>
      <c r="U123" s="155"/>
      <c r="V123" s="155"/>
      <c r="W123" s="155"/>
      <c r="X123" s="155"/>
      <c r="Y123" s="155"/>
      <c r="Z123" s="155"/>
    </row>
    <row r="124" ht="15.0" customHeight="true">
      <c r="A124" s="183" t="s">
        <v>3881</v>
      </c>
      <c r="B124" s="183" t="s">
        <v>3882</v>
      </c>
      <c r="C124" s="183" t="s">
        <v>3883</v>
      </c>
      <c r="D124" s="183" t="s">
        <v>3824</v>
      </c>
      <c r="E124" s="183" t="s">
        <v>3884</v>
      </c>
      <c r="F124" s="183" t="s">
        <v>3485</v>
      </c>
      <c r="G124" s="183" t="s">
        <v>3885</v>
      </c>
      <c r="H124" s="183" t="s">
        <v>3334</v>
      </c>
      <c r="I124" s="184" t="s">
        <v>3886</v>
      </c>
      <c r="J124" s="183" t="s">
        <v>226</v>
      </c>
      <c r="K124" s="183" t="s">
        <v>227</v>
      </c>
      <c r="L124" s="185" t="s">
        <v>3199</v>
      </c>
      <c r="M124" s="155"/>
      <c r="N124" s="155"/>
      <c r="O124" s="155"/>
      <c r="P124" s="155"/>
      <c r="Q124" s="186" t="b">
        <v>0</v>
      </c>
      <c r="R124" s="185" t="s">
        <v>226</v>
      </c>
      <c r="S124" s="187" t="n">
        <v>46293.583958333336</v>
      </c>
      <c r="T124" s="188">
        <f>HYPERLINK("http://localhost:8844/AdminKuakeAutomationReport_20260928_122307.html","Open report")</f>
      </c>
      <c r="U124" s="155"/>
      <c r="V124" s="155"/>
      <c r="W124" s="155"/>
      <c r="X124" s="155"/>
      <c r="Y124" s="155"/>
      <c r="Z124" s="155"/>
    </row>
    <row r="125" ht="15.0" customHeight="true">
      <c r="A125" s="183" t="s">
        <v>3887</v>
      </c>
      <c r="B125" s="183" t="s">
        <v>3888</v>
      </c>
      <c r="C125" s="183" t="s">
        <v>3889</v>
      </c>
      <c r="D125" s="183" t="s">
        <v>3824</v>
      </c>
      <c r="E125" s="183" t="s">
        <v>3890</v>
      </c>
      <c r="F125" s="183" t="s">
        <v>3891</v>
      </c>
      <c r="G125" s="183" t="s">
        <v>3892</v>
      </c>
      <c r="H125" s="183" t="s">
        <v>3334</v>
      </c>
      <c r="I125" s="184" t="s">
        <v>3893</v>
      </c>
      <c r="J125" s="183" t="s">
        <v>226</v>
      </c>
      <c r="K125" s="183" t="s">
        <v>227</v>
      </c>
      <c r="L125" s="185" t="s">
        <v>3199</v>
      </c>
      <c r="M125" s="155"/>
      <c r="N125" s="155"/>
      <c r="O125" s="155"/>
      <c r="P125" s="155"/>
      <c r="Q125" s="186" t="b">
        <v>0</v>
      </c>
      <c r="R125" s="185" t="s">
        <v>226</v>
      </c>
      <c r="S125" s="187" t="n">
        <v>46293.58557870371</v>
      </c>
      <c r="T125" s="188">
        <f>HYPERLINK("http://localhost:8844/AdminKuakeAutomationReport_20260928_122307.html","Open report")</f>
      </c>
      <c r="U125" s="155"/>
      <c r="V125" s="155"/>
      <c r="W125" s="155"/>
      <c r="X125" s="155"/>
      <c r="Y125" s="155"/>
      <c r="Z125" s="155"/>
    </row>
    <row r="126" ht="15.0" customHeight="true">
      <c r="A126" s="183" t="s">
        <v>3894</v>
      </c>
      <c r="B126" s="183" t="s">
        <v>3895</v>
      </c>
      <c r="C126" s="183" t="s">
        <v>3896</v>
      </c>
      <c r="D126" s="183" t="s">
        <v>3824</v>
      </c>
      <c r="E126" s="183" t="s">
        <v>3533</v>
      </c>
      <c r="F126" s="183" t="s">
        <v>3897</v>
      </c>
      <c r="G126" s="183" t="s">
        <v>3792</v>
      </c>
      <c r="H126" s="183" t="s">
        <v>3334</v>
      </c>
      <c r="I126" s="184" t="s">
        <v>3898</v>
      </c>
      <c r="J126" s="183" t="s">
        <v>226</v>
      </c>
      <c r="K126" s="183" t="s">
        <v>227</v>
      </c>
      <c r="L126" s="185" t="s">
        <v>3199</v>
      </c>
      <c r="M126" s="155"/>
      <c r="N126" s="155"/>
      <c r="O126" s="155"/>
      <c r="P126" s="155"/>
      <c r="Q126" s="186" t="b">
        <v>0</v>
      </c>
      <c r="R126" s="185" t="s">
        <v>226</v>
      </c>
      <c r="S126" s="187" t="n">
        <v>46293.58335648148</v>
      </c>
      <c r="T126" s="188">
        <f>HYPERLINK("http://localhost:8844/AdminKuakeAutomationReport_20260928_122307.html","Open report")</f>
      </c>
      <c r="U126" s="155"/>
      <c r="V126" s="155"/>
      <c r="W126" s="155"/>
      <c r="X126" s="155"/>
      <c r="Y126" s="155"/>
      <c r="Z126" s="155"/>
    </row>
    <row r="127" ht="15.0" customHeight="true">
      <c r="A127" s="194" t="s">
        <v>3899</v>
      </c>
      <c r="B127" s="195"/>
      <c r="C127" s="195"/>
      <c r="D127" s="195"/>
      <c r="E127" s="195"/>
      <c r="F127" s="195"/>
      <c r="G127" s="195"/>
      <c r="H127" s="195"/>
      <c r="I127" s="195"/>
      <c r="J127" s="195"/>
      <c r="K127" s="196"/>
      <c r="L127" s="155"/>
      <c r="M127" s="155"/>
      <c r="N127" s="155"/>
      <c r="O127" s="155"/>
      <c r="P127" s="155"/>
      <c r="Q127" s="155"/>
      <c r="R127" s="155"/>
      <c r="S127" s="155"/>
      <c r="T127" s="155"/>
      <c r="U127" s="155"/>
      <c r="V127" s="155"/>
      <c r="W127" s="155"/>
      <c r="X127" s="155"/>
      <c r="Y127" s="155"/>
      <c r="Z127" s="155"/>
    </row>
    <row r="128" ht="15.0" customHeight="true">
      <c r="A128" s="179" t="s">
        <v>3546</v>
      </c>
      <c r="B128" s="180"/>
      <c r="C128" s="180"/>
      <c r="D128" s="180"/>
      <c r="E128" s="180"/>
      <c r="F128" s="180"/>
      <c r="G128" s="180"/>
      <c r="H128" s="180"/>
      <c r="I128" s="180"/>
      <c r="J128" s="180"/>
      <c r="K128" s="181"/>
      <c r="L128" s="155"/>
      <c r="M128" s="155"/>
      <c r="N128" s="155"/>
      <c r="O128" s="155"/>
      <c r="P128" s="155"/>
      <c r="Q128" s="155"/>
      <c r="R128" s="155"/>
      <c r="S128" s="155"/>
      <c r="T128" s="155"/>
      <c r="U128" s="155"/>
      <c r="V128" s="155"/>
      <c r="W128" s="155"/>
      <c r="X128" s="155"/>
      <c r="Y128" s="155"/>
      <c r="Z128" s="155"/>
    </row>
    <row r="129" ht="15.0" customHeight="true">
      <c r="A129" s="197" t="s">
        <v>3900</v>
      </c>
      <c r="B129" s="183" t="s">
        <v>3901</v>
      </c>
      <c r="C129" s="183" t="s">
        <v>3902</v>
      </c>
      <c r="D129" s="183" t="s">
        <v>3824</v>
      </c>
      <c r="E129" s="183" t="s">
        <v>3903</v>
      </c>
      <c r="F129" s="183" t="s">
        <v>3904</v>
      </c>
      <c r="G129" s="183" t="s">
        <v>3905</v>
      </c>
      <c r="H129" s="183" t="s">
        <v>3828</v>
      </c>
      <c r="I129" s="184" t="s">
        <v>3906</v>
      </c>
      <c r="J129" s="183" t="s">
        <v>226</v>
      </c>
      <c r="K129" s="183" t="s">
        <v>225</v>
      </c>
      <c r="L129" s="185" t="s">
        <v>3199</v>
      </c>
      <c r="M129" s="155"/>
      <c r="N129" s="155"/>
      <c r="O129" s="155"/>
      <c r="P129" s="155"/>
      <c r="Q129" s="186" t="b">
        <v>0</v>
      </c>
      <c r="R129" s="185" t="s">
        <v>226</v>
      </c>
      <c r="S129" s="187" t="n">
        <v>46293.51806712963</v>
      </c>
      <c r="T129" s="188">
        <f>HYPERLINK("http://localhost:8844/AdminKuakeAutomationReport_20260928_122307.html","Open report")</f>
      </c>
      <c r="U129" s="155"/>
      <c r="V129" s="155"/>
      <c r="W129" s="155"/>
      <c r="X129" s="155"/>
      <c r="Y129" s="155"/>
      <c r="Z129" s="155"/>
    </row>
    <row r="130" ht="15.0" customHeight="true">
      <c r="A130" s="197" t="s">
        <v>3907</v>
      </c>
      <c r="B130" s="183" t="s">
        <v>3908</v>
      </c>
      <c r="C130" s="183" t="s">
        <v>3909</v>
      </c>
      <c r="D130" s="183" t="s">
        <v>3824</v>
      </c>
      <c r="E130" s="183" t="s">
        <v>3910</v>
      </c>
      <c r="F130" s="183" t="s">
        <v>2959</v>
      </c>
      <c r="G130" s="183" t="s">
        <v>3911</v>
      </c>
      <c r="H130" s="183" t="s">
        <v>3828</v>
      </c>
      <c r="I130" s="184" t="s">
        <v>3912</v>
      </c>
      <c r="J130" s="183" t="s">
        <v>226</v>
      </c>
      <c r="K130" s="183" t="s">
        <v>225</v>
      </c>
      <c r="L130" s="185" t="s">
        <v>3199</v>
      </c>
      <c r="M130" s="155"/>
      <c r="N130" s="155"/>
      <c r="O130" s="155"/>
      <c r="P130" s="155"/>
      <c r="Q130" s="186" t="b">
        <v>0</v>
      </c>
      <c r="R130" s="185" t="s">
        <v>226</v>
      </c>
      <c r="S130" s="187" t="n">
        <v>46293.60362268519</v>
      </c>
      <c r="T130" s="188">
        <f>HYPERLINK("http://localhost:8844/AdminKuakeAutomationReport_20260928_122307.html","Open report")</f>
      </c>
      <c r="U130" s="155"/>
      <c r="V130" s="155"/>
      <c r="W130" s="155"/>
      <c r="X130" s="155"/>
      <c r="Y130" s="155"/>
      <c r="Z130" s="155"/>
    </row>
    <row r="131" ht="15.0" customHeight="true">
      <c r="A131" s="183" t="s">
        <v>3913</v>
      </c>
      <c r="B131" s="183" t="s">
        <v>3914</v>
      </c>
      <c r="C131" s="183" t="s">
        <v>3915</v>
      </c>
      <c r="D131" s="183" t="s">
        <v>3824</v>
      </c>
      <c r="E131" s="183" t="s">
        <v>3916</v>
      </c>
      <c r="F131" s="183" t="s">
        <v>3917</v>
      </c>
      <c r="G131" s="183" t="s">
        <v>3918</v>
      </c>
      <c r="H131" s="183" t="s">
        <v>3828</v>
      </c>
      <c r="I131" s="184" t="s">
        <v>3919</v>
      </c>
      <c r="J131" s="183" t="s">
        <v>226</v>
      </c>
      <c r="K131" s="183" t="s">
        <v>225</v>
      </c>
      <c r="L131" s="185" t="s">
        <v>3199</v>
      </c>
      <c r="M131" s="155"/>
      <c r="N131" s="155"/>
      <c r="O131" s="155"/>
      <c r="P131" s="155"/>
      <c r="Q131" s="186" t="b">
        <v>0</v>
      </c>
      <c r="R131" s="185" t="s">
        <v>226</v>
      </c>
      <c r="S131" s="187" t="n">
        <v>46293.6072337963</v>
      </c>
      <c r="T131" s="188">
        <f>HYPERLINK("http://localhost:8844/AdminKuakeAutomationReport_20260928_122307.html","Open report")</f>
      </c>
      <c r="U131" s="155"/>
      <c r="V131" s="155"/>
      <c r="W131" s="155"/>
      <c r="X131" s="155"/>
      <c r="Y131" s="155"/>
      <c r="Z131" s="155"/>
    </row>
    <row r="132" ht="15.0" customHeight="true">
      <c r="A132" s="183" t="s">
        <v>3920</v>
      </c>
      <c r="B132" s="183" t="s">
        <v>3921</v>
      </c>
      <c r="C132" s="183" t="s">
        <v>3922</v>
      </c>
      <c r="D132" s="183" t="s">
        <v>3824</v>
      </c>
      <c r="E132" s="183" t="s">
        <v>3923</v>
      </c>
      <c r="F132" s="183" t="s">
        <v>2959</v>
      </c>
      <c r="G132" s="183" t="s">
        <v>3924</v>
      </c>
      <c r="H132" s="183" t="s">
        <v>3828</v>
      </c>
      <c r="I132" s="184" t="s">
        <v>3925</v>
      </c>
      <c r="J132" s="183" t="s">
        <v>226</v>
      </c>
      <c r="K132" s="183" t="s">
        <v>227</v>
      </c>
      <c r="L132" s="185" t="s">
        <v>3199</v>
      </c>
      <c r="M132" s="155"/>
      <c r="N132" s="155"/>
      <c r="O132" s="155"/>
      <c r="P132" s="155"/>
      <c r="Q132" s="186" t="b">
        <v>0</v>
      </c>
      <c r="R132" s="185" t="s">
        <v>226</v>
      </c>
      <c r="S132" s="187" t="n">
        <v>46293.5562037037</v>
      </c>
      <c r="T132" s="188">
        <f>HYPERLINK("http://localhost:8844/AdminKuakeAutomationReport_20260928_122307.html","Open report")</f>
      </c>
      <c r="U132" s="155"/>
      <c r="V132" s="155"/>
      <c r="W132" s="155"/>
      <c r="X132" s="155"/>
      <c r="Y132" s="155"/>
      <c r="Z132" s="155"/>
    </row>
    <row r="133" ht="15.0" customHeight="true">
      <c r="A133" s="197" t="s">
        <v>3926</v>
      </c>
      <c r="B133" s="183" t="s">
        <v>3927</v>
      </c>
      <c r="C133" s="183" t="s">
        <v>3928</v>
      </c>
      <c r="D133" s="183" t="s">
        <v>3929</v>
      </c>
      <c r="E133" s="183" t="s">
        <v>3930</v>
      </c>
      <c r="F133" s="183" t="s">
        <v>3931</v>
      </c>
      <c r="G133" s="183" t="s">
        <v>3932</v>
      </c>
      <c r="H133" s="183" t="s">
        <v>3828</v>
      </c>
      <c r="I133" s="184" t="s">
        <v>3933</v>
      </c>
      <c r="J133" s="183" t="s">
        <v>226</v>
      </c>
      <c r="K133" s="183" t="s">
        <v>227</v>
      </c>
      <c r="L133" s="185" t="s">
        <v>3199</v>
      </c>
      <c r="M133" s="155"/>
      <c r="N133" s="155"/>
      <c r="O133" s="155"/>
      <c r="P133" s="155"/>
      <c r="Q133" s="186" t="b">
        <v>0</v>
      </c>
      <c r="R133" s="185" t="s">
        <v>226</v>
      </c>
      <c r="S133" s="187" t="n">
        <v>46293.56862268518</v>
      </c>
      <c r="T133" s="188">
        <f>HYPERLINK("http://localhost:8844/AdminKuakeAutomationReport_20260928_122307.html","Open report")</f>
      </c>
      <c r="U133" s="155"/>
      <c r="V133" s="155"/>
      <c r="W133" s="155"/>
      <c r="X133" s="155"/>
      <c r="Y133" s="155"/>
      <c r="Z133" s="155"/>
    </row>
    <row r="134" ht="15.0" customHeight="true">
      <c r="A134" s="197" t="s">
        <v>3934</v>
      </c>
      <c r="B134" s="183" t="s">
        <v>3935</v>
      </c>
      <c r="C134" s="183" t="s">
        <v>3936</v>
      </c>
      <c r="D134" s="183" t="s">
        <v>3824</v>
      </c>
      <c r="E134" s="183" t="s">
        <v>3937</v>
      </c>
      <c r="F134" s="183" t="s">
        <v>3938</v>
      </c>
      <c r="G134" s="183" t="s">
        <v>3939</v>
      </c>
      <c r="H134" s="183" t="s">
        <v>3828</v>
      </c>
      <c r="I134" s="184" t="s">
        <v>3940</v>
      </c>
      <c r="J134" s="183" t="s">
        <v>226</v>
      </c>
      <c r="K134" s="183" t="s">
        <v>225</v>
      </c>
      <c r="L134" s="185" t="s">
        <v>3199</v>
      </c>
      <c r="M134" s="155"/>
      <c r="N134" s="155"/>
      <c r="O134" s="155"/>
      <c r="P134" s="155"/>
      <c r="Q134" s="186" t="b">
        <v>0</v>
      </c>
      <c r="R134" s="185" t="s">
        <v>226</v>
      </c>
      <c r="S134" s="187" t="n">
        <v>46293.591365740744</v>
      </c>
      <c r="T134" s="188">
        <f>HYPERLINK("http://localhost:8844/AdminKuakeAutomationReport_20260928_122307.html","Open report")</f>
      </c>
      <c r="U134" s="155"/>
      <c r="V134" s="155"/>
      <c r="W134" s="155"/>
      <c r="X134" s="155"/>
      <c r="Y134" s="155"/>
      <c r="Z134" s="155"/>
    </row>
    <row r="135" ht="15.0" customHeight="true">
      <c r="A135" s="183" t="s">
        <v>3941</v>
      </c>
      <c r="B135" s="183" t="s">
        <v>3942</v>
      </c>
      <c r="C135" s="183" t="s">
        <v>3943</v>
      </c>
      <c r="D135" s="183" t="s">
        <v>3824</v>
      </c>
      <c r="E135" s="183" t="s">
        <v>3944</v>
      </c>
      <c r="F135" s="183" t="s">
        <v>3945</v>
      </c>
      <c r="G135" s="183" t="s">
        <v>3946</v>
      </c>
      <c r="H135" s="183" t="s">
        <v>3828</v>
      </c>
      <c r="I135" s="184" t="s">
        <v>3947</v>
      </c>
      <c r="J135" s="183" t="s">
        <v>226</v>
      </c>
      <c r="K135" s="183" t="s">
        <v>227</v>
      </c>
      <c r="L135" s="185" t="s">
        <v>3199</v>
      </c>
      <c r="M135" s="155"/>
      <c r="N135" s="155"/>
      <c r="O135" s="155"/>
      <c r="P135" s="155"/>
      <c r="Q135" s="186" t="b">
        <v>0</v>
      </c>
      <c r="R135" s="185" t="s">
        <v>226</v>
      </c>
      <c r="S135" s="187" t="n">
        <v>46293.5730787037</v>
      </c>
      <c r="T135" s="188">
        <f>HYPERLINK("http://localhost:8844/AdminKuakeAutomationReport_20260928_122307.html","Open report")</f>
      </c>
      <c r="U135" s="155"/>
      <c r="V135" s="155"/>
      <c r="W135" s="155"/>
      <c r="X135" s="155"/>
      <c r="Y135" s="155"/>
      <c r="Z135" s="155"/>
    </row>
    <row r="136" ht="15.0" customHeight="true">
      <c r="A136" s="201" t="s">
        <v>3948</v>
      </c>
      <c r="B136" s="183" t="s">
        <v>3949</v>
      </c>
      <c r="C136" s="183" t="s">
        <v>3950</v>
      </c>
      <c r="D136" s="183" t="s">
        <v>3929</v>
      </c>
      <c r="E136" s="183" t="s">
        <v>3951</v>
      </c>
      <c r="F136" s="183" t="s">
        <v>3952</v>
      </c>
      <c r="G136" s="199" t="s">
        <v>3953</v>
      </c>
      <c r="H136" s="183" t="s">
        <v>3828</v>
      </c>
      <c r="I136" s="184" t="s">
        <v>3954</v>
      </c>
      <c r="J136" s="183" t="s">
        <v>226</v>
      </c>
      <c r="K136" s="183" t="s">
        <v>227</v>
      </c>
      <c r="L136" s="185" t="s">
        <v>3199</v>
      </c>
      <c r="M136" s="155"/>
      <c r="N136" s="155"/>
      <c r="O136" s="155"/>
      <c r="P136" s="155"/>
      <c r="Q136" s="186" t="b">
        <v>0</v>
      </c>
      <c r="R136" s="185" t="s">
        <v>226</v>
      </c>
      <c r="S136" s="187" t="n">
        <v>46293.57027777778</v>
      </c>
      <c r="T136" s="188">
        <f>HYPERLINK("http://localhost:8844/AdminKuakeAutomationReport_20260928_122307.html","Open report")</f>
      </c>
      <c r="U136" s="155"/>
      <c r="V136" s="155"/>
      <c r="W136" s="155"/>
      <c r="X136" s="155"/>
      <c r="Y136" s="155"/>
      <c r="Z136" s="155"/>
    </row>
    <row r="137" ht="15.0" customHeight="true">
      <c r="A137" s="191" t="s">
        <v>3696</v>
      </c>
      <c r="B137" s="192"/>
      <c r="C137" s="192"/>
      <c r="D137" s="192"/>
      <c r="E137" s="192"/>
      <c r="F137" s="192"/>
      <c r="G137" s="192"/>
      <c r="H137" s="192"/>
      <c r="I137" s="192"/>
      <c r="J137" s="192"/>
      <c r="K137" s="193"/>
      <c r="L137" s="155"/>
      <c r="M137" s="155"/>
      <c r="N137" s="155"/>
      <c r="O137" s="155"/>
      <c r="P137" s="155"/>
      <c r="Q137" s="155"/>
      <c r="R137" s="155"/>
      <c r="S137" s="155"/>
      <c r="T137" s="155"/>
      <c r="U137" s="155"/>
      <c r="V137" s="155"/>
      <c r="W137" s="155"/>
      <c r="X137" s="155"/>
      <c r="Y137" s="155"/>
      <c r="Z137" s="155"/>
    </row>
    <row r="138" ht="15.0" customHeight="true">
      <c r="A138" s="183" t="s">
        <v>3955</v>
      </c>
      <c r="B138" s="183" t="s">
        <v>3956</v>
      </c>
      <c r="C138" s="183" t="s">
        <v>3957</v>
      </c>
      <c r="D138" s="183" t="s">
        <v>3824</v>
      </c>
      <c r="E138" s="183" t="s">
        <v>3958</v>
      </c>
      <c r="F138" s="183" t="s">
        <v>2959</v>
      </c>
      <c r="G138" s="183" t="s">
        <v>3959</v>
      </c>
      <c r="H138" s="183" t="s">
        <v>3334</v>
      </c>
      <c r="I138" s="184" t="s">
        <v>3702</v>
      </c>
      <c r="J138" s="183" t="s">
        <v>226</v>
      </c>
      <c r="K138" s="183" t="s">
        <v>225</v>
      </c>
      <c r="L138" s="185" t="s">
        <v>3199</v>
      </c>
      <c r="M138" s="155"/>
      <c r="N138" s="155"/>
      <c r="O138" s="155"/>
      <c r="P138" s="155"/>
      <c r="Q138" s="186" t="b">
        <v>0</v>
      </c>
      <c r="R138" s="185" t="s">
        <v>226</v>
      </c>
      <c r="S138" s="187" t="n">
        <v>46293.602430555555</v>
      </c>
      <c r="T138" s="188">
        <f>HYPERLINK("http://localhost:8844/AdminKuakeAutomationReport_20260928_122307.html","Open report")</f>
      </c>
      <c r="U138" s="155"/>
      <c r="V138" s="155"/>
      <c r="W138" s="155"/>
      <c r="X138" s="155"/>
      <c r="Y138" s="155"/>
      <c r="Z138" s="155"/>
    </row>
    <row r="139" ht="15.0" customHeight="true">
      <c r="A139" s="183" t="s">
        <v>3960</v>
      </c>
      <c r="B139" s="183" t="s">
        <v>3961</v>
      </c>
      <c r="C139" s="183" t="s">
        <v>3962</v>
      </c>
      <c r="D139" s="183" t="s">
        <v>3824</v>
      </c>
      <c r="E139" s="183" t="s">
        <v>3963</v>
      </c>
      <c r="F139" s="183" t="s">
        <v>2959</v>
      </c>
      <c r="G139" s="183" t="s">
        <v>3715</v>
      </c>
      <c r="H139" s="183" t="s">
        <v>3334</v>
      </c>
      <c r="I139" s="184" t="s">
        <v>3964</v>
      </c>
      <c r="J139" s="183" t="s">
        <v>226</v>
      </c>
      <c r="K139" s="183" t="s">
        <v>225</v>
      </c>
      <c r="L139" s="185" t="s">
        <v>3199</v>
      </c>
      <c r="M139" s="155"/>
      <c r="N139" s="155"/>
      <c r="O139" s="155"/>
      <c r="P139" s="155"/>
      <c r="Q139" s="186" t="b">
        <v>0</v>
      </c>
      <c r="R139" s="185" t="s">
        <v>226</v>
      </c>
      <c r="S139" s="187" t="n">
        <v>46293.60457175926</v>
      </c>
      <c r="T139" s="188">
        <f>HYPERLINK("http://localhost:8844/AdminKuakeAutomationReport_20260928_122307.html","Open report")</f>
      </c>
      <c r="U139" s="155"/>
      <c r="V139" s="155"/>
      <c r="W139" s="155"/>
      <c r="X139" s="155"/>
      <c r="Y139" s="155"/>
      <c r="Z139" s="155"/>
    </row>
    <row r="140" ht="15.0" customHeight="true">
      <c r="A140" s="183" t="s">
        <v>3965</v>
      </c>
      <c r="B140" s="183" t="s">
        <v>3966</v>
      </c>
      <c r="C140" s="183" t="s">
        <v>3967</v>
      </c>
      <c r="D140" s="183" t="s">
        <v>3824</v>
      </c>
      <c r="E140" s="183" t="s">
        <v>3968</v>
      </c>
      <c r="F140" s="183" t="s">
        <v>3969</v>
      </c>
      <c r="G140" s="183" t="s">
        <v>3970</v>
      </c>
      <c r="H140" s="183" t="s">
        <v>3334</v>
      </c>
      <c r="I140" s="184" t="s">
        <v>3726</v>
      </c>
      <c r="J140" s="183" t="s">
        <v>226</v>
      </c>
      <c r="K140" s="183" t="s">
        <v>225</v>
      </c>
      <c r="L140" s="185" t="s">
        <v>3199</v>
      </c>
      <c r="M140" s="155"/>
      <c r="N140" s="155"/>
      <c r="O140" s="155"/>
      <c r="P140" s="155"/>
      <c r="Q140" s="186" t="b">
        <v>0</v>
      </c>
      <c r="R140" s="185" t="s">
        <v>226</v>
      </c>
      <c r="S140" s="187" t="n">
        <v>46293.59811342593</v>
      </c>
      <c r="T140" s="188">
        <f>HYPERLINK("http://localhost:8844/AdminKuakeAutomationReport_20260928_122307.html","Open report")</f>
      </c>
      <c r="U140" s="155"/>
      <c r="V140" s="155"/>
      <c r="W140" s="155"/>
      <c r="X140" s="155"/>
      <c r="Y140" s="155"/>
      <c r="Z140" s="155"/>
    </row>
    <row r="141" ht="15.0" customHeight="true">
      <c r="A141" s="183" t="s">
        <v>3971</v>
      </c>
      <c r="B141" s="183" t="s">
        <v>3776</v>
      </c>
      <c r="C141" s="183" t="s">
        <v>3972</v>
      </c>
      <c r="D141" s="183" t="s">
        <v>3824</v>
      </c>
      <c r="E141" s="183" t="s">
        <v>3973</v>
      </c>
      <c r="F141" s="183" t="s">
        <v>3974</v>
      </c>
      <c r="G141" s="183" t="s">
        <v>3975</v>
      </c>
      <c r="H141" s="183" t="s">
        <v>3976</v>
      </c>
      <c r="I141" s="184" t="s">
        <v>3977</v>
      </c>
      <c r="J141" s="183" t="s">
        <v>226</v>
      </c>
      <c r="K141" s="183" t="s">
        <v>225</v>
      </c>
      <c r="L141" s="185" t="s">
        <v>3199</v>
      </c>
      <c r="M141" s="155"/>
      <c r="N141" s="155"/>
      <c r="O141" s="155"/>
      <c r="P141" s="155"/>
      <c r="Q141" s="186" t="b">
        <v>0</v>
      </c>
      <c r="R141" s="185" t="s">
        <v>226</v>
      </c>
      <c r="S141" s="187" t="n">
        <v>46293.60849537037</v>
      </c>
      <c r="T141" s="188">
        <f>HYPERLINK("http://localhost:8844/AdminKuakeAutomationReport_20260928_122307.html","Open report")</f>
      </c>
      <c r="U141" s="155"/>
      <c r="V141" s="155"/>
      <c r="W141" s="155"/>
      <c r="X141" s="155"/>
      <c r="Y141" s="155"/>
      <c r="Z141" s="155"/>
    </row>
    <row r="142" ht="15.0" customHeight="true">
      <c r="A142" s="183" t="s">
        <v>3978</v>
      </c>
      <c r="B142" s="183" t="s">
        <v>3979</v>
      </c>
      <c r="C142" s="183" t="s">
        <v>3980</v>
      </c>
      <c r="D142" s="183" t="s">
        <v>3824</v>
      </c>
      <c r="E142" s="183" t="s">
        <v>3981</v>
      </c>
      <c r="F142" s="183" t="s">
        <v>3982</v>
      </c>
      <c r="G142" s="183" t="s">
        <v>3983</v>
      </c>
      <c r="H142" s="183" t="s">
        <v>3334</v>
      </c>
      <c r="I142" s="184" t="s">
        <v>3984</v>
      </c>
      <c r="J142" s="183" t="s">
        <v>226</v>
      </c>
      <c r="K142" s="183" t="s">
        <v>227</v>
      </c>
      <c r="L142" s="185" t="s">
        <v>3199</v>
      </c>
      <c r="M142" s="155"/>
      <c r="N142" s="155"/>
      <c r="O142" s="155"/>
      <c r="P142" s="155"/>
      <c r="Q142" s="186" t="b">
        <v>0</v>
      </c>
      <c r="R142" s="185" t="s">
        <v>226</v>
      </c>
      <c r="S142" s="187" t="n">
        <v>46293.62238425926</v>
      </c>
      <c r="T142" s="188">
        <f>HYPERLINK("http://localhost:8844/AdminKuakeAutomationReport_20260928_122307.html","Open report")</f>
      </c>
      <c r="U142" s="155"/>
      <c r="V142" s="155"/>
      <c r="W142" s="155"/>
      <c r="X142" s="155"/>
      <c r="Y142" s="155"/>
      <c r="Z142" s="155"/>
    </row>
    <row r="143" ht="15.0" customHeight="true">
      <c r="A143" s="183" t="s">
        <v>3985</v>
      </c>
      <c r="B143" s="183" t="s">
        <v>3986</v>
      </c>
      <c r="C143" s="183" t="s">
        <v>3987</v>
      </c>
      <c r="D143" s="183" t="s">
        <v>3824</v>
      </c>
      <c r="E143" s="183" t="s">
        <v>3988</v>
      </c>
      <c r="F143" s="183" t="s">
        <v>2959</v>
      </c>
      <c r="G143" s="183" t="s">
        <v>3989</v>
      </c>
      <c r="H143" s="183" t="s">
        <v>2959</v>
      </c>
      <c r="I143" s="184" t="s">
        <v>3990</v>
      </c>
      <c r="J143" s="183" t="s">
        <v>226</v>
      </c>
      <c r="K143" s="183" t="s">
        <v>229</v>
      </c>
      <c r="L143" s="185" t="s">
        <v>3199</v>
      </c>
      <c r="M143" s="155"/>
      <c r="N143" s="155"/>
      <c r="O143" s="155"/>
      <c r="P143" s="155"/>
      <c r="Q143" s="186" t="b">
        <v>0</v>
      </c>
      <c r="R143" s="185" t="s">
        <v>226</v>
      </c>
      <c r="S143" s="187" t="n">
        <v>46293.555289351854</v>
      </c>
      <c r="T143" s="188">
        <f>HYPERLINK("http://localhost:8844/AdminKuakeAutomationReport_20260928_122307.html","Open report")</f>
      </c>
      <c r="U143" s="155"/>
      <c r="V143" s="155"/>
      <c r="W143" s="155"/>
      <c r="X143" s="155"/>
      <c r="Y143" s="155"/>
      <c r="Z143" s="155"/>
    </row>
    <row r="144" ht="15.0" customHeight="true">
      <c r="A144" s="183" t="s">
        <v>3991</v>
      </c>
      <c r="B144" s="183" t="s">
        <v>3992</v>
      </c>
      <c r="C144" s="183" t="s">
        <v>3993</v>
      </c>
      <c r="D144" s="183" t="s">
        <v>3824</v>
      </c>
      <c r="E144" s="183" t="s">
        <v>3994</v>
      </c>
      <c r="F144" s="183" t="s">
        <v>2959</v>
      </c>
      <c r="G144" s="183" t="s">
        <v>3995</v>
      </c>
      <c r="H144" s="183" t="s">
        <v>3334</v>
      </c>
      <c r="I144" s="184" t="s">
        <v>3996</v>
      </c>
      <c r="J144" s="183" t="s">
        <v>226</v>
      </c>
      <c r="K144" s="183" t="s">
        <v>227</v>
      </c>
      <c r="L144" s="185" t="s">
        <v>3199</v>
      </c>
      <c r="M144" s="155"/>
      <c r="N144" s="155"/>
      <c r="O144" s="155"/>
      <c r="P144" s="155"/>
      <c r="Q144" s="186" t="b">
        <v>0</v>
      </c>
      <c r="R144" s="185" t="s">
        <v>226</v>
      </c>
      <c r="S144" s="187" t="n">
        <v>46293.5534375</v>
      </c>
      <c r="T144" s="188">
        <f>HYPERLINK("http://localhost:8844/AdminKuakeAutomationReport_20260928_122307.html","Open report")</f>
      </c>
      <c r="U144" s="155"/>
      <c r="V144" s="155"/>
      <c r="W144" s="155"/>
      <c r="X144" s="155"/>
      <c r="Y144" s="155"/>
      <c r="Z144" s="155"/>
    </row>
    <row r="145" ht="15.0" customHeight="true">
      <c r="A145" s="201" t="s">
        <v>3997</v>
      </c>
      <c r="B145" s="183" t="s">
        <v>3998</v>
      </c>
      <c r="C145" s="183" t="s">
        <v>3999</v>
      </c>
      <c r="D145" s="183" t="s">
        <v>4000</v>
      </c>
      <c r="E145" s="183" t="s">
        <v>4001</v>
      </c>
      <c r="F145" s="183" t="s">
        <v>3577</v>
      </c>
      <c r="G145" s="183" t="s">
        <v>4002</v>
      </c>
      <c r="H145" s="183" t="s">
        <v>3334</v>
      </c>
      <c r="I145" s="184" t="s">
        <v>3726</v>
      </c>
      <c r="J145" s="183" t="s">
        <v>226</v>
      </c>
      <c r="K145" s="183" t="s">
        <v>225</v>
      </c>
      <c r="L145" s="185" t="s">
        <v>3199</v>
      </c>
      <c r="M145" s="155"/>
      <c r="N145" s="155"/>
      <c r="O145" s="155"/>
      <c r="P145" s="155"/>
      <c r="Q145" s="186" t="b">
        <v>0</v>
      </c>
      <c r="R145" s="185" t="s">
        <v>226</v>
      </c>
      <c r="S145" s="187" t="n">
        <v>46293.5971412037</v>
      </c>
      <c r="T145" s="188">
        <f>HYPERLINK("http://localhost:8844/AdminKuakeAutomationReport_20260928_122307.html","Open report")</f>
      </c>
      <c r="U145" s="155"/>
      <c r="V145" s="155"/>
      <c r="W145" s="155"/>
      <c r="X145" s="155"/>
      <c r="Y145" s="155"/>
      <c r="Z145" s="155"/>
    </row>
    <row r="146" ht="15.0" customHeight="true">
      <c r="A146" s="201" t="s">
        <v>4003</v>
      </c>
      <c r="B146" s="183" t="s">
        <v>4004</v>
      </c>
      <c r="C146" s="183" t="s">
        <v>4005</v>
      </c>
      <c r="D146" s="183" t="s">
        <v>4000</v>
      </c>
      <c r="E146" s="183" t="s">
        <v>4006</v>
      </c>
      <c r="F146" s="183" t="s">
        <v>2959</v>
      </c>
      <c r="G146" s="183" t="s">
        <v>4007</v>
      </c>
      <c r="H146" s="183" t="s">
        <v>3334</v>
      </c>
      <c r="I146" s="184" t="s">
        <v>3964</v>
      </c>
      <c r="J146" s="183" t="s">
        <v>226</v>
      </c>
      <c r="K146" s="183" t="s">
        <v>225</v>
      </c>
      <c r="L146" s="185" t="s">
        <v>3199</v>
      </c>
      <c r="M146" s="155"/>
      <c r="N146" s="155"/>
      <c r="O146" s="155"/>
      <c r="P146" s="155"/>
      <c r="Q146" s="186" t="b">
        <v>0</v>
      </c>
      <c r="R146" s="185" t="s">
        <v>226</v>
      </c>
      <c r="S146" s="187" t="n">
        <v>46293.605532407404</v>
      </c>
      <c r="T146" s="188">
        <f>HYPERLINK("http://localhost:8844/AdminKuakeAutomationReport_20260928_122307.html","Open report")</f>
      </c>
      <c r="U146" s="155"/>
      <c r="V146" s="155"/>
      <c r="W146" s="155"/>
      <c r="X146" s="155"/>
      <c r="Y146" s="155"/>
      <c r="Z146" s="155"/>
    </row>
  </sheetData>
  <mergeCells count="1">
    <mergeCell ref="A8:B8"/>
  </mergeCells>
  <pageMargins bottom="0.75" footer="0.3" header="0.3" left="0.7" right="0.7" top="0.75"/>
</worksheet>
</file>

<file path=xl/worksheets/sheet9.xml><?xml version="1.0" encoding="utf-8"?>
<worksheet xmlns="http://schemas.openxmlformats.org/spreadsheetml/2006/main">
  <sheetPr>
    <tabColor xmlns:r="http://schemas.openxmlformats.org/officeDocument/2006/relationships" xmlns:xm="http://schemas.microsoft.com/office/excel/2006/main" xmlns:mc="http://schemas.openxmlformats.org/markup-compatibility/2006" xmlns:mv="urn:schemas-microsoft-com:mac:vml" xmlns:x14="http://schemas.microsoft.com/office/spreadsheetml/2009/9/main" xmlns:mx="http://schemas.microsoft.com/office/mac/excel/2008/main" xmlns:x15="http://schemas.microsoft.com/office/spreadsheetml/2010/11/main" xmlns:x14ac="http://schemas.microsoft.com/office/spreadsheetml/2009/9/ac" rgb="FF00FF00"/>
  </sheetPr>
  <dimension ref="A1:Z42"/>
  <sheetViews>
    <sheetView workbookViewId="0"/>
  </sheetViews>
  <sheetFormatPr defaultRowHeight="15.0"/>
  <cols>
    <col min="1" max="1" width="18.62890625" customWidth="true"/>
    <col min="2" max="2" width="24.37890625" customWidth="true"/>
    <col min="3" max="3" width="21.5" customWidth="true"/>
    <col min="4" max="4" width="28.62890625" customWidth="true"/>
    <col min="5" max="5" width="26.37890625" customWidth="true"/>
    <col min="6" max="6" width="16.62890625" customWidth="true"/>
    <col min="7" max="7" width="29.37890625" customWidth="true"/>
    <col min="8" max="8" width="19.62890625" customWidth="true"/>
    <col min="9" max="9" width="27.0" customWidth="true"/>
    <col min="10" max="10" width="15.37890625" customWidth="true"/>
    <col min="11" max="11" width="8.0" customWidth="true"/>
    <col min="12" max="12" width="8.0" customWidth="true"/>
    <col min="13" max="13" width="8.0" customWidth="true"/>
    <col min="14" max="14" width="8.0" customWidth="true"/>
    <col min="15" max="15" width="8.0" customWidth="true"/>
    <col min="16" max="16" width="8.0" customWidth="true"/>
    <col min="17" max="17" width="8.0" customWidth="true"/>
    <col min="18" max="18" width="8.0" customWidth="true"/>
    <col min="19" max="19" width="8.0" customWidth="true"/>
    <col min="20" max="20" width="8.0" customWidth="true"/>
    <col min="21" max="21" width="8.0" customWidth="true"/>
    <col min="22" max="22" width="8.0" customWidth="true"/>
    <col min="23" max="23" width="8.0" customWidth="true"/>
    <col min="24" max="24" width="8.0" customWidth="true"/>
    <col min="25" max="25" width="8.0" customWidth="true"/>
    <col min="26" max="26" width="8.0" customWidth="true"/>
  </cols>
  <sheetData>
    <row r="1" ht="15.0" customHeight="true">
      <c r="A1" s="202" t="s">
        <v>232</v>
      </c>
      <c r="B1" s="203" t="s">
        <v>233</v>
      </c>
      <c r="C1" s="204"/>
      <c r="D1" s="205">
        <f>COUNTIF(J9:J320, E1)/F1</f>
      </c>
      <c r="E1" s="206" t="s">
        <v>234</v>
      </c>
      <c r="F1" s="207">
        <f>COUNTIF(J9:J100 ,"&lt;&gt;")</f>
      </c>
      <c r="G1" s="208" t="s">
        <v>235</v>
      </c>
      <c r="H1" s="204"/>
      <c r="I1" s="204"/>
      <c r="J1" s="204"/>
      <c r="K1" s="204"/>
      <c r="L1" s="204"/>
      <c r="M1" s="204"/>
      <c r="N1" s="204"/>
      <c r="O1" s="204"/>
      <c r="P1" s="204"/>
      <c r="Q1" s="204"/>
      <c r="R1" s="204"/>
      <c r="S1" s="204"/>
      <c r="T1" s="204"/>
      <c r="U1" s="204"/>
      <c r="V1" s="204"/>
      <c r="W1" s="204"/>
      <c r="X1" s="204"/>
      <c r="Y1" s="204"/>
      <c r="Z1" s="204"/>
    </row>
    <row r="2" ht="15.0" customHeight="true">
      <c r="A2" s="209" t="s">
        <v>236</v>
      </c>
      <c r="B2" s="210" t="s">
        <v>4008</v>
      </c>
      <c r="C2" s="204"/>
      <c r="D2" s="211">
        <f>COUNTIF(J9:J320, E2)/F1</f>
      </c>
      <c r="E2" s="212" t="s">
        <v>238</v>
      </c>
      <c r="F2" s="213">
        <f>ROWS(A:A)</f>
      </c>
      <c r="G2" s="214" t="s">
        <v>239</v>
      </c>
      <c r="H2" s="204"/>
      <c r="I2" s="204"/>
      <c r="J2" s="204"/>
      <c r="K2" s="204"/>
      <c r="L2" s="204"/>
      <c r="M2" s="204"/>
      <c r="N2" s="204"/>
      <c r="O2" s="204"/>
      <c r="P2" s="204"/>
      <c r="Q2" s="204"/>
      <c r="R2" s="204"/>
      <c r="S2" s="204"/>
      <c r="T2" s="204"/>
      <c r="U2" s="204"/>
      <c r="V2" s="204"/>
      <c r="W2" s="204"/>
      <c r="X2" s="204"/>
      <c r="Y2" s="204"/>
      <c r="Z2" s="204"/>
    </row>
    <row r="3" ht="15.0" customHeight="true">
      <c r="A3" s="209" t="s">
        <v>241</v>
      </c>
      <c r="B3" s="210" t="s">
        <v>3178</v>
      </c>
      <c r="C3" s="204"/>
      <c r="D3" s="215">
        <f>COUNTIF(J9:J320, E3)/F1</f>
      </c>
      <c r="E3" s="208" t="s">
        <v>243</v>
      </c>
      <c r="F3" s="204"/>
      <c r="G3" s="204"/>
      <c r="H3" s="204"/>
      <c r="I3" s="204"/>
      <c r="J3" s="204"/>
      <c r="K3" s="204"/>
      <c r="L3" s="204"/>
      <c r="M3" s="204"/>
      <c r="N3" s="204"/>
      <c r="O3" s="204"/>
      <c r="P3" s="204"/>
      <c r="Q3" s="204"/>
      <c r="R3" s="204"/>
      <c r="S3" s="204"/>
      <c r="T3" s="204"/>
      <c r="U3" s="204"/>
      <c r="V3" s="204"/>
      <c r="W3" s="204"/>
      <c r="X3" s="204"/>
      <c r="Y3" s="204"/>
      <c r="Z3" s="204"/>
    </row>
    <row r="4" ht="15.0" customHeight="true">
      <c r="A4" s="209" t="s">
        <v>245</v>
      </c>
      <c r="B4" s="210" t="s">
        <v>246</v>
      </c>
      <c r="C4" s="204"/>
      <c r="D4" s="216">
        <f>SUM(D1:D3)</f>
      </c>
      <c r="E4" s="217" t="s">
        <v>247</v>
      </c>
      <c r="F4" s="204"/>
      <c r="G4" s="204"/>
      <c r="H4" s="204"/>
      <c r="I4" s="204"/>
      <c r="J4" s="204"/>
      <c r="K4" s="204"/>
      <c r="L4" s="204"/>
      <c r="M4" s="204"/>
      <c r="N4" s="204"/>
      <c r="O4" s="204"/>
      <c r="P4" s="204"/>
      <c r="Q4" s="204"/>
      <c r="R4" s="204"/>
      <c r="S4" s="204"/>
      <c r="T4" s="204"/>
      <c r="U4" s="204"/>
      <c r="V4" s="204"/>
      <c r="W4" s="204"/>
      <c r="X4" s="204"/>
      <c r="Y4" s="204"/>
      <c r="Z4" s="204"/>
    </row>
    <row r="5" ht="15.0" customHeight="true">
      <c r="A5" s="209" t="s">
        <v>248</v>
      </c>
      <c r="B5" s="218" t="s">
        <v>3179</v>
      </c>
      <c r="C5" s="204"/>
      <c r="D5" s="204"/>
      <c r="E5" s="204"/>
      <c r="F5" s="204"/>
      <c r="G5" s="204"/>
      <c r="H5" s="204"/>
      <c r="I5" s="204"/>
      <c r="J5" s="204"/>
      <c r="K5" s="204"/>
      <c r="L5" s="204"/>
      <c r="M5" s="204"/>
      <c r="N5" s="204"/>
      <c r="O5" s="204"/>
      <c r="P5" s="204"/>
      <c r="Q5" s="204"/>
      <c r="R5" s="204"/>
      <c r="S5" s="204"/>
      <c r="T5" s="204"/>
      <c r="U5" s="204"/>
      <c r="V5" s="204"/>
      <c r="W5" s="204"/>
      <c r="X5" s="204"/>
      <c r="Y5" s="204"/>
      <c r="Z5" s="204"/>
    </row>
    <row r="6" ht="15.0" customHeight="true">
      <c r="A6" s="209" t="s">
        <v>249</v>
      </c>
      <c r="B6" s="219"/>
      <c r="C6" s="204"/>
      <c r="D6" s="204"/>
      <c r="E6" s="204"/>
      <c r="F6" s="204"/>
      <c r="G6" s="204"/>
      <c r="H6" s="204"/>
      <c r="I6" s="204"/>
      <c r="J6" s="204"/>
      <c r="K6" s="204"/>
      <c r="L6" s="204"/>
      <c r="M6" s="204"/>
      <c r="N6" s="204"/>
      <c r="O6" s="204"/>
      <c r="P6" s="204"/>
      <c r="Q6" s="204"/>
      <c r="R6" s="204"/>
      <c r="S6" s="204"/>
      <c r="T6" s="204"/>
      <c r="U6" s="204"/>
      <c r="V6" s="204"/>
      <c r="W6" s="204"/>
      <c r="X6" s="204"/>
      <c r="Y6" s="204"/>
      <c r="Z6" s="204"/>
    </row>
    <row r="7" ht="15.0" customHeight="true">
      <c r="A7" s="204"/>
      <c r="B7" s="204"/>
      <c r="C7" s="204"/>
      <c r="D7" s="204"/>
      <c r="E7" s="204"/>
      <c r="F7" s="204"/>
      <c r="G7" s="204"/>
      <c r="H7" s="204"/>
      <c r="I7" s="204"/>
      <c r="J7" s="204"/>
      <c r="K7" s="204"/>
      <c r="L7" s="204"/>
      <c r="M7" s="204"/>
      <c r="N7" s="204"/>
      <c r="O7" s="204"/>
      <c r="P7" s="204"/>
      <c r="Q7" s="204"/>
      <c r="R7" s="204"/>
      <c r="S7" s="204"/>
      <c r="T7" s="204"/>
      <c r="U7" s="204"/>
      <c r="V7" s="204"/>
      <c r="W7" s="204"/>
      <c r="X7" s="204"/>
      <c r="Y7" s="204"/>
      <c r="Z7" s="204"/>
    </row>
    <row r="8" ht="15.0" customHeight="true">
      <c r="A8" s="220" t="s">
        <v>250</v>
      </c>
      <c r="B8" s="221"/>
      <c r="C8" s="222"/>
      <c r="D8" s="222"/>
      <c r="E8" s="222"/>
      <c r="F8" s="222"/>
      <c r="G8" s="222"/>
      <c r="H8" s="222"/>
      <c r="I8" s="222"/>
      <c r="J8" s="222"/>
      <c r="K8" s="222"/>
      <c r="L8" s="222"/>
      <c r="M8" s="222"/>
      <c r="N8" s="222"/>
      <c r="O8" s="222"/>
      <c r="P8" s="222"/>
      <c r="Q8" s="222"/>
      <c r="R8" s="222"/>
      <c r="S8" s="222"/>
      <c r="T8" s="222"/>
      <c r="U8" s="222"/>
      <c r="V8" s="222"/>
      <c r="W8" s="222"/>
      <c r="X8" s="222"/>
      <c r="Y8" s="222"/>
      <c r="Z8" s="222"/>
    </row>
    <row r="9" ht="15.0" customHeight="true">
      <c r="A9" s="223" t="s">
        <v>252</v>
      </c>
      <c r="B9" s="223" t="s">
        <v>253</v>
      </c>
      <c r="C9" s="223" t="s">
        <v>254</v>
      </c>
      <c r="D9" s="223" t="s">
        <v>255</v>
      </c>
      <c r="E9" s="223" t="s">
        <v>256</v>
      </c>
      <c r="F9" s="223" t="s">
        <v>257</v>
      </c>
      <c r="G9" s="223" t="s">
        <v>258</v>
      </c>
      <c r="H9" s="223" t="s">
        <v>259</v>
      </c>
      <c r="I9" s="223" t="s">
        <v>260</v>
      </c>
      <c r="J9" s="223" t="s">
        <v>3180</v>
      </c>
      <c r="K9" s="223" t="s">
        <v>3181</v>
      </c>
      <c r="L9" s="223" t="s">
        <v>3182</v>
      </c>
      <c r="M9" s="223" t="s">
        <v>3183</v>
      </c>
      <c r="N9" s="223" t="s">
        <v>262</v>
      </c>
      <c r="O9" s="223" t="s">
        <v>3184</v>
      </c>
      <c r="P9" s="223" t="s">
        <v>728</v>
      </c>
      <c r="Q9" s="223" t="s">
        <v>3185</v>
      </c>
      <c r="R9" s="223" t="s">
        <v>3186</v>
      </c>
      <c r="S9" s="223" t="s">
        <v>3187</v>
      </c>
      <c r="T9" s="223" t="s">
        <v>3188</v>
      </c>
      <c r="U9" s="224"/>
      <c r="V9" s="224"/>
      <c r="W9" s="224"/>
      <c r="X9" s="224"/>
      <c r="Y9" s="224"/>
      <c r="Z9" s="224"/>
    </row>
    <row r="10" ht="15.0" customHeight="true">
      <c r="A10" s="225" t="s">
        <v>4009</v>
      </c>
      <c r="B10" s="226"/>
      <c r="C10" s="226"/>
      <c r="D10" s="226"/>
      <c r="E10" s="226"/>
      <c r="F10" s="226"/>
      <c r="G10" s="226"/>
      <c r="H10" s="226"/>
      <c r="I10" s="226"/>
      <c r="J10" s="226"/>
      <c r="K10" s="227"/>
      <c r="L10" s="204"/>
      <c r="M10" s="204"/>
      <c r="N10" s="204"/>
      <c r="O10" s="204"/>
      <c r="P10" s="204"/>
      <c r="Q10" s="204"/>
      <c r="R10" s="204"/>
      <c r="S10" s="204"/>
      <c r="T10" s="204"/>
      <c r="U10" s="204"/>
      <c r="V10" s="204"/>
      <c r="W10" s="204"/>
      <c r="X10" s="204"/>
      <c r="Y10" s="204"/>
      <c r="Z10" s="204"/>
    </row>
    <row r="11" ht="15.0" customHeight="true">
      <c r="A11" s="228" t="s">
        <v>4010</v>
      </c>
      <c r="B11" s="228" t="s">
        <v>4011</v>
      </c>
      <c r="C11" s="228" t="s">
        <v>4012</v>
      </c>
      <c r="D11" s="228" t="s">
        <v>4013</v>
      </c>
      <c r="E11" s="228" t="s">
        <v>4014</v>
      </c>
      <c r="F11" s="228" t="s">
        <v>4015</v>
      </c>
      <c r="G11" s="228" t="s">
        <v>4016</v>
      </c>
      <c r="H11" s="228" t="s">
        <v>4017</v>
      </c>
      <c r="I11" s="229" t="s">
        <v>4018</v>
      </c>
      <c r="J11" s="230" t="s">
        <v>228</v>
      </c>
      <c r="K11" s="228" t="s">
        <v>227</v>
      </c>
      <c r="L11" s="231" t="s">
        <v>3199</v>
      </c>
      <c r="M11" s="204"/>
      <c r="N11" s="204"/>
      <c r="O11" s="204"/>
      <c r="P11" s="204"/>
      <c r="Q11" s="231" t="b">
        <v>0</v>
      </c>
      <c r="R11" s="231" t="s">
        <v>228</v>
      </c>
      <c r="S11" s="232" t="n">
        <v>46296.35537037037</v>
      </c>
      <c r="T11" s="233">
        <f>HYPERLINK("http://localhost:8844/AdminKuakeAutomationReport_20261001_083000.html","Open report")</f>
      </c>
      <c r="U11" s="204"/>
      <c r="V11" s="204"/>
      <c r="W11" s="204"/>
      <c r="X11" s="204"/>
      <c r="Y11" s="204"/>
      <c r="Z11" s="204"/>
    </row>
    <row r="12" ht="15.0" customHeight="true">
      <c r="A12" s="234" t="s">
        <v>4019</v>
      </c>
      <c r="B12" s="234" t="s">
        <v>4020</v>
      </c>
      <c r="C12" s="234" t="s">
        <v>4021</v>
      </c>
      <c r="D12" s="234" t="s">
        <v>4022</v>
      </c>
      <c r="E12" s="234" t="s">
        <v>4023</v>
      </c>
      <c r="F12" s="234" t="s">
        <v>4024</v>
      </c>
      <c r="G12" s="234" t="s">
        <v>4025</v>
      </c>
      <c r="H12" s="234" t="s">
        <v>4017</v>
      </c>
      <c r="I12" s="235" t="s">
        <v>4026</v>
      </c>
      <c r="J12" s="230" t="s">
        <v>228</v>
      </c>
      <c r="K12" s="234" t="s">
        <v>229</v>
      </c>
      <c r="L12" s="231" t="s">
        <v>3199</v>
      </c>
      <c r="M12" s="204"/>
      <c r="N12" s="204"/>
      <c r="O12" s="204"/>
      <c r="P12" s="204"/>
      <c r="Q12" s="231" t="b">
        <v>0</v>
      </c>
      <c r="R12" s="231" t="s">
        <v>228</v>
      </c>
      <c r="S12" s="232" t="n">
        <v>46296.38408564815</v>
      </c>
      <c r="T12" s="233">
        <f>HYPERLINK("http://localhost:8844/AdminKuakeAutomationReport_20261001_083000.html","Open report")</f>
      </c>
      <c r="U12" s="204"/>
      <c r="V12" s="204"/>
      <c r="W12" s="204"/>
      <c r="X12" s="204"/>
      <c r="Y12" s="204"/>
      <c r="Z12" s="204"/>
    </row>
    <row r="13" ht="15.0" customHeight="true">
      <c r="A13" s="225" t="s">
        <v>4027</v>
      </c>
      <c r="B13" s="226"/>
      <c r="C13" s="226"/>
      <c r="D13" s="226"/>
      <c r="E13" s="226"/>
      <c r="F13" s="226"/>
      <c r="G13" s="226"/>
      <c r="H13" s="226"/>
      <c r="I13" s="226"/>
      <c r="J13" s="236"/>
      <c r="K13" s="227"/>
      <c r="L13" s="204"/>
      <c r="M13" s="204"/>
      <c r="N13" s="204"/>
      <c r="O13" s="204"/>
      <c r="P13" s="204"/>
      <c r="Q13" s="204"/>
      <c r="R13" s="204"/>
      <c r="S13" s="237"/>
      <c r="T13" s="204"/>
      <c r="U13" s="204"/>
      <c r="V13" s="204"/>
      <c r="W13" s="204"/>
      <c r="X13" s="204"/>
      <c r="Y13" s="204"/>
      <c r="Z13" s="204"/>
    </row>
    <row r="14" ht="15.0" customHeight="true">
      <c r="A14" s="228" t="s">
        <v>4028</v>
      </c>
      <c r="B14" s="228" t="s">
        <v>4029</v>
      </c>
      <c r="C14" s="228" t="s">
        <v>4030</v>
      </c>
      <c r="D14" s="228" t="s">
        <v>4031</v>
      </c>
      <c r="E14" s="228" t="s">
        <v>4032</v>
      </c>
      <c r="F14" s="228" t="s">
        <v>4033</v>
      </c>
      <c r="G14" s="228" t="s">
        <v>4034</v>
      </c>
      <c r="H14" s="228" t="s">
        <v>4035</v>
      </c>
      <c r="I14" s="229" t="s">
        <v>4036</v>
      </c>
      <c r="J14" s="230" t="s">
        <v>226</v>
      </c>
      <c r="K14" s="228" t="s">
        <v>227</v>
      </c>
      <c r="L14" s="231" t="s">
        <v>3199</v>
      </c>
      <c r="M14" s="204"/>
      <c r="N14" s="204"/>
      <c r="O14" s="204"/>
      <c r="P14" s="204"/>
      <c r="Q14" s="231" t="b">
        <v>0</v>
      </c>
      <c r="R14" s="231" t="s">
        <v>226</v>
      </c>
      <c r="S14" s="232" t="n">
        <v>46300.72509259259</v>
      </c>
      <c r="T14" s="233">
        <f>HYPERLINK("http://localhost:8844/AdminKuakeAutomationReport_20261005_172316.html", "Open report")</f>
      </c>
      <c r="U14" s="204"/>
      <c r="V14" s="204"/>
      <c r="W14" s="204"/>
      <c r="X14" s="204"/>
      <c r="Y14" s="204"/>
      <c r="Z14" s="204"/>
    </row>
    <row r="15" ht="15.0" customHeight="true">
      <c r="A15" s="228" t="s">
        <v>4037</v>
      </c>
      <c r="B15" s="228" t="s">
        <v>4038</v>
      </c>
      <c r="C15" s="228" t="s">
        <v>4039</v>
      </c>
      <c r="D15" s="228" t="s">
        <v>4040</v>
      </c>
      <c r="E15" s="228" t="s">
        <v>4041</v>
      </c>
      <c r="F15" s="228" t="s">
        <v>4042</v>
      </c>
      <c r="G15" s="228" t="s">
        <v>4043</v>
      </c>
      <c r="H15" s="228" t="s">
        <v>4017</v>
      </c>
      <c r="I15" s="229" t="s">
        <v>4044</v>
      </c>
      <c r="J15" s="230" t="s">
        <v>226</v>
      </c>
      <c r="K15" s="228" t="s">
        <v>227</v>
      </c>
      <c r="L15" s="231" t="s">
        <v>3199</v>
      </c>
      <c r="M15" s="204"/>
      <c r="N15" s="204"/>
      <c r="O15" s="204"/>
      <c r="P15" s="204"/>
      <c r="Q15" s="231" t="b">
        <v>0</v>
      </c>
      <c r="R15" s="231" t="s">
        <v>226</v>
      </c>
      <c r="S15" s="232" t="n">
        <v>46300.71113425926</v>
      </c>
      <c r="T15" s="233">
        <f>HYPERLINK("http://localhost:8844/AdminKuakeAutomationReport_20261005_170329.html", "Open report")</f>
      </c>
      <c r="U15" s="204"/>
      <c r="V15" s="204"/>
      <c r="W15" s="204"/>
      <c r="X15" s="204"/>
      <c r="Y15" s="204"/>
      <c r="Z15" s="204"/>
    </row>
    <row r="16" ht="15.0" customHeight="true">
      <c r="A16" s="234" t="s">
        <v>4045</v>
      </c>
      <c r="B16" s="234" t="s">
        <v>4046</v>
      </c>
      <c r="C16" s="234" t="s">
        <v>4047</v>
      </c>
      <c r="D16" s="234" t="s">
        <v>4048</v>
      </c>
      <c r="E16" s="234" t="s">
        <v>4049</v>
      </c>
      <c r="F16" s="234" t="s">
        <v>4050</v>
      </c>
      <c r="G16" s="234" t="s">
        <v>4051</v>
      </c>
      <c r="H16" s="235" t="s">
        <v>4052</v>
      </c>
      <c r="I16" s="235" t="s">
        <v>4053</v>
      </c>
      <c r="J16" s="230" t="s">
        <v>226</v>
      </c>
      <c r="K16" s="234" t="s">
        <v>227</v>
      </c>
      <c r="L16" s="231" t="s">
        <v>3199</v>
      </c>
      <c r="M16" s="204"/>
      <c r="N16" s="204"/>
      <c r="O16" s="204"/>
      <c r="P16" s="204"/>
      <c r="Q16" s="231" t="b">
        <v>0</v>
      </c>
      <c r="R16" s="231" t="s">
        <v>226</v>
      </c>
      <c r="S16" s="232" t="n">
        <v>46300.70788194444</v>
      </c>
      <c r="T16" s="233">
        <f>HYPERLINK("http://localhost:8844/AdminKuakeAutomationReport_20261005_165837.html", "Open report")</f>
      </c>
      <c r="U16" s="204"/>
      <c r="V16" s="204"/>
      <c r="W16" s="204"/>
      <c r="X16" s="204"/>
      <c r="Y16" s="204"/>
      <c r="Z16" s="204"/>
    </row>
    <row r="17" ht="15.0" customHeight="true">
      <c r="A17" s="225" t="s">
        <v>4054</v>
      </c>
      <c r="B17" s="226"/>
      <c r="C17" s="226"/>
      <c r="D17" s="226"/>
      <c r="E17" s="226"/>
      <c r="F17" s="226"/>
      <c r="G17" s="226"/>
      <c r="H17" s="226"/>
      <c r="I17" s="226"/>
      <c r="J17" s="236"/>
      <c r="K17" s="227"/>
      <c r="L17" s="204"/>
      <c r="M17" s="204"/>
      <c r="N17" s="204"/>
      <c r="O17" s="204"/>
      <c r="P17" s="204"/>
      <c r="Q17" s="204"/>
      <c r="R17" s="204"/>
      <c r="S17" s="237"/>
      <c r="T17" s="204"/>
      <c r="U17" s="204"/>
      <c r="V17" s="204"/>
      <c r="W17" s="204"/>
      <c r="X17" s="204"/>
      <c r="Y17" s="204"/>
      <c r="Z17" s="204"/>
    </row>
    <row r="18" ht="15.0" customHeight="true">
      <c r="A18" s="228" t="s">
        <v>4055</v>
      </c>
      <c r="B18" s="228" t="s">
        <v>4056</v>
      </c>
      <c r="C18" s="228" t="s">
        <v>4057</v>
      </c>
      <c r="D18" s="228" t="s">
        <v>4058</v>
      </c>
      <c r="E18" s="228" t="s">
        <v>4059</v>
      </c>
      <c r="F18" s="228" t="s">
        <v>4060</v>
      </c>
      <c r="G18" s="228" t="s">
        <v>4061</v>
      </c>
      <c r="H18" s="228" t="s">
        <v>4062</v>
      </c>
      <c r="I18" s="229" t="s">
        <v>4063</v>
      </c>
      <c r="J18" s="230" t="s">
        <v>226</v>
      </c>
      <c r="K18" s="228" t="s">
        <v>227</v>
      </c>
      <c r="L18" s="231" t="s">
        <v>3199</v>
      </c>
      <c r="M18" s="204"/>
      <c r="N18" s="204"/>
      <c r="O18" s="204"/>
      <c r="P18" s="204"/>
      <c r="Q18" s="231" t="b">
        <v>0</v>
      </c>
      <c r="R18" s="231" t="s">
        <v>226</v>
      </c>
      <c r="S18" s="232" t="n">
        <v>46296.37238425926</v>
      </c>
      <c r="T18" s="233">
        <f>HYPERLINK("http://localhost:8844/AdminKuakeAutomationReport_20261001_083000.html", "Open report")</f>
      </c>
      <c r="U18" s="204"/>
      <c r="V18" s="204"/>
      <c r="W18" s="204"/>
      <c r="X18" s="204"/>
      <c r="Y18" s="204"/>
      <c r="Z18" s="204"/>
    </row>
    <row r="19" ht="15.0" customHeight="true">
      <c r="A19" s="228" t="s">
        <v>4064</v>
      </c>
      <c r="B19" s="228" t="s">
        <v>4065</v>
      </c>
      <c r="C19" s="228" t="s">
        <v>4066</v>
      </c>
      <c r="D19" s="228" t="s">
        <v>4067</v>
      </c>
      <c r="E19" s="228" t="s">
        <v>4068</v>
      </c>
      <c r="F19" s="228" t="s">
        <v>4069</v>
      </c>
      <c r="G19" s="228" t="s">
        <v>4070</v>
      </c>
      <c r="H19" s="228" t="s">
        <v>4071</v>
      </c>
      <c r="I19" s="229" t="s">
        <v>4072</v>
      </c>
      <c r="J19" s="230" t="s">
        <v>226</v>
      </c>
      <c r="K19" s="228" t="s">
        <v>225</v>
      </c>
      <c r="L19" s="231" t="s">
        <v>3199</v>
      </c>
      <c r="M19" s="204"/>
      <c r="N19" s="204"/>
      <c r="O19" s="204"/>
      <c r="P19" s="204"/>
      <c r="Q19" s="231" t="b">
        <v>0</v>
      </c>
      <c r="R19" s="231" t="s">
        <v>226</v>
      </c>
      <c r="S19" s="232" t="n">
        <v>46300.701875</v>
      </c>
      <c r="T19" s="233">
        <f>HYPERLINK("http://localhost:8844/AdminKuakeAutomationReport_20261005_164940.html", "Open report")</f>
      </c>
      <c r="U19" s="204"/>
      <c r="V19" s="204"/>
      <c r="W19" s="204"/>
      <c r="X19" s="204"/>
      <c r="Y19" s="204"/>
      <c r="Z19" s="204"/>
    </row>
    <row r="20" ht="15.0" customHeight="true">
      <c r="A20" s="228" t="s">
        <v>4073</v>
      </c>
      <c r="B20" s="228" t="s">
        <v>4074</v>
      </c>
      <c r="C20" s="228" t="s">
        <v>4075</v>
      </c>
      <c r="D20" s="228" t="s">
        <v>4067</v>
      </c>
      <c r="E20" s="228" t="s">
        <v>4076</v>
      </c>
      <c r="F20" s="228" t="s">
        <v>4077</v>
      </c>
      <c r="G20" s="228" t="s">
        <v>4078</v>
      </c>
      <c r="H20" s="228" t="s">
        <v>4079</v>
      </c>
      <c r="I20" s="229" t="s">
        <v>4080</v>
      </c>
      <c r="J20" s="230" t="s">
        <v>226</v>
      </c>
      <c r="K20" s="228" t="s">
        <v>227</v>
      </c>
      <c r="L20" s="231" t="s">
        <v>3199</v>
      </c>
      <c r="M20" s="204"/>
      <c r="N20" s="204"/>
      <c r="O20" s="204"/>
      <c r="P20" s="204"/>
      <c r="Q20" s="231" t="b">
        <v>0</v>
      </c>
      <c r="R20" s="231" t="s">
        <v>226</v>
      </c>
      <c r="S20" s="232" t="n">
        <v>46296.39555555556</v>
      </c>
      <c r="T20" s="233">
        <f>HYPERLINK("http://localhost:8844/AdminKuakeAutomationReport_20261001_083000.html","Open report")</f>
      </c>
      <c r="U20" s="204"/>
      <c r="V20" s="204"/>
      <c r="W20" s="204"/>
      <c r="X20" s="204"/>
      <c r="Y20" s="204"/>
      <c r="Z20" s="204"/>
    </row>
    <row r="21" ht="15.0" customHeight="true">
      <c r="A21" s="228" t="s">
        <v>4081</v>
      </c>
      <c r="B21" s="228" t="s">
        <v>4082</v>
      </c>
      <c r="C21" s="228" t="s">
        <v>4083</v>
      </c>
      <c r="D21" s="228" t="s">
        <v>4048</v>
      </c>
      <c r="E21" s="228" t="s">
        <v>4084</v>
      </c>
      <c r="F21" s="228" t="s">
        <v>4085</v>
      </c>
      <c r="G21" s="228" t="s">
        <v>4086</v>
      </c>
      <c r="H21" s="228" t="s">
        <v>4017</v>
      </c>
      <c r="I21" s="229" t="s">
        <v>4087</v>
      </c>
      <c r="J21" s="230" t="s">
        <v>226</v>
      </c>
      <c r="K21" s="228" t="s">
        <v>225</v>
      </c>
      <c r="L21" s="231" t="s">
        <v>3199</v>
      </c>
      <c r="M21" s="204"/>
      <c r="N21" s="204"/>
      <c r="O21" s="204"/>
      <c r="P21" s="204"/>
      <c r="Q21" s="231" t="b">
        <v>0</v>
      </c>
      <c r="R21" s="231" t="s">
        <v>226</v>
      </c>
      <c r="S21" s="232" t="n">
        <v>46296.37835648148</v>
      </c>
      <c r="T21" s="233">
        <f>HYPERLINK("http://localhost:8844/AdminKuakeAutomationReport_20261001_083000.html","Open report")</f>
      </c>
      <c r="U21" s="204"/>
      <c r="V21" s="204"/>
      <c r="W21" s="204"/>
      <c r="X21" s="204"/>
      <c r="Y21" s="204"/>
      <c r="Z21" s="204"/>
    </row>
    <row r="22" ht="15.0" customHeight="true">
      <c r="A22" s="228" t="s">
        <v>4088</v>
      </c>
      <c r="B22" s="228" t="s">
        <v>4089</v>
      </c>
      <c r="C22" s="228" t="s">
        <v>4090</v>
      </c>
      <c r="D22" s="228" t="s">
        <v>4067</v>
      </c>
      <c r="E22" s="228" t="s">
        <v>4091</v>
      </c>
      <c r="F22" s="228" t="s">
        <v>4092</v>
      </c>
      <c r="G22" s="238" t="s">
        <v>4093</v>
      </c>
      <c r="H22" s="228" t="s">
        <v>4017</v>
      </c>
      <c r="I22" s="229" t="s">
        <v>4094</v>
      </c>
      <c r="J22" s="230" t="s">
        <v>226</v>
      </c>
      <c r="K22" s="228" t="s">
        <v>227</v>
      </c>
      <c r="L22" s="231" t="s">
        <v>3199</v>
      </c>
      <c r="M22" s="204"/>
      <c r="N22" s="204"/>
      <c r="O22" s="204"/>
      <c r="P22" s="204"/>
      <c r="Q22" s="231" t="b">
        <v>0</v>
      </c>
      <c r="R22" s="231" t="s">
        <v>226</v>
      </c>
      <c r="S22" s="232" t="n">
        <v>46296.3734375</v>
      </c>
      <c r="T22" s="233">
        <f>HYPERLINK("http://localhost:8844/AdminKuakeAutomationReport_20261001_083000.html","Open report")</f>
      </c>
      <c r="U22" s="204"/>
      <c r="V22" s="204"/>
      <c r="W22" s="204"/>
      <c r="X22" s="204"/>
      <c r="Y22" s="204"/>
      <c r="Z22" s="204"/>
    </row>
    <row r="23" ht="15.0" customHeight="true">
      <c r="A23" s="234" t="s">
        <v>4095</v>
      </c>
      <c r="B23" s="234" t="s">
        <v>4096</v>
      </c>
      <c r="C23" s="234" t="s">
        <v>4097</v>
      </c>
      <c r="D23" s="234" t="s">
        <v>4031</v>
      </c>
      <c r="E23" s="234" t="s">
        <v>4098</v>
      </c>
      <c r="F23" s="239" t="s">
        <v>4099</v>
      </c>
      <c r="G23" s="239" t="s">
        <v>4100</v>
      </c>
      <c r="H23" s="234" t="s">
        <v>4017</v>
      </c>
      <c r="I23" s="235" t="s">
        <v>4101</v>
      </c>
      <c r="J23" s="230" t="s">
        <v>226</v>
      </c>
      <c r="K23" s="234" t="s">
        <v>229</v>
      </c>
      <c r="L23" s="231" t="s">
        <v>3199</v>
      </c>
      <c r="M23" s="204"/>
      <c r="N23" s="204"/>
      <c r="O23" s="204"/>
      <c r="P23" s="204"/>
      <c r="Q23" s="231" t="b">
        <v>0</v>
      </c>
      <c r="R23" s="231" t="s">
        <v>226</v>
      </c>
      <c r="S23" s="232" t="n">
        <v>46296.39263888889</v>
      </c>
      <c r="T23" s="233">
        <f>HYPERLINK("http://localhost:8844/AdminKuakeAutomationReport_20261001_083000.html","Open report")</f>
      </c>
      <c r="U23" s="204"/>
      <c r="V23" s="204"/>
      <c r="W23" s="204"/>
      <c r="X23" s="204"/>
      <c r="Y23" s="204"/>
      <c r="Z23" s="204"/>
    </row>
    <row r="24" ht="15.0" customHeight="true">
      <c r="A24" s="225" t="s">
        <v>4102</v>
      </c>
      <c r="B24" s="226"/>
      <c r="C24" s="226"/>
      <c r="D24" s="226"/>
      <c r="E24" s="226"/>
      <c r="F24" s="226"/>
      <c r="G24" s="226"/>
      <c r="H24" s="226"/>
      <c r="I24" s="226"/>
      <c r="J24" s="236"/>
      <c r="K24" s="227"/>
      <c r="L24" s="204"/>
      <c r="M24" s="204"/>
      <c r="N24" s="204"/>
      <c r="O24" s="204"/>
      <c r="P24" s="204"/>
      <c r="Q24" s="204"/>
      <c r="R24" s="204"/>
      <c r="S24" s="237"/>
      <c r="T24" s="204"/>
      <c r="U24" s="204"/>
      <c r="V24" s="204"/>
      <c r="W24" s="204"/>
      <c r="X24" s="204"/>
      <c r="Y24" s="204"/>
      <c r="Z24" s="204"/>
    </row>
    <row r="25" ht="15.0" customHeight="true">
      <c r="A25" s="230" t="s">
        <v>4103</v>
      </c>
      <c r="B25" s="230" t="s">
        <v>4104</v>
      </c>
      <c r="C25" s="230" t="s">
        <v>4105</v>
      </c>
      <c r="D25" s="230" t="s">
        <v>4106</v>
      </c>
      <c r="E25" s="230" t="s">
        <v>4107</v>
      </c>
      <c r="F25" s="230" t="s">
        <v>4085</v>
      </c>
      <c r="G25" s="230" t="s">
        <v>4108</v>
      </c>
      <c r="H25" s="230" t="s">
        <v>4017</v>
      </c>
      <c r="I25" s="240" t="s">
        <v>4109</v>
      </c>
      <c r="J25" s="230" t="s">
        <v>226</v>
      </c>
      <c r="K25" s="230" t="s">
        <v>227</v>
      </c>
      <c r="L25" s="231" t="s">
        <v>3199</v>
      </c>
      <c r="M25" s="204"/>
      <c r="N25" s="204"/>
      <c r="O25" s="204"/>
      <c r="P25" s="204"/>
      <c r="Q25" s="231" t="b">
        <v>0</v>
      </c>
      <c r="R25" s="231" t="s">
        <v>226</v>
      </c>
      <c r="S25" s="232" t="n">
        <v>46296.381157407406</v>
      </c>
      <c r="T25" s="233">
        <f>HYPERLINK("http://localhost:8844/AdminKuakeAutomationReport_20261001_083000.html","Open report")</f>
      </c>
      <c r="U25" s="204"/>
      <c r="V25" s="204"/>
      <c r="W25" s="204"/>
      <c r="X25" s="204"/>
      <c r="Y25" s="204"/>
      <c r="Z25" s="204"/>
    </row>
    <row r="26" ht="15.0" customHeight="true">
      <c r="A26" s="228" t="s">
        <v>4110</v>
      </c>
      <c r="B26" s="228" t="s">
        <v>4111</v>
      </c>
      <c r="C26" s="228" t="s">
        <v>4112</v>
      </c>
      <c r="D26" s="228" t="s">
        <v>4113</v>
      </c>
      <c r="E26" s="228" t="s">
        <v>4114</v>
      </c>
      <c r="F26" s="228" t="s">
        <v>4115</v>
      </c>
      <c r="G26" s="228" t="s">
        <v>4116</v>
      </c>
      <c r="H26" s="228" t="s">
        <v>4117</v>
      </c>
      <c r="I26" s="229" t="s">
        <v>4118</v>
      </c>
      <c r="J26" s="230" t="s">
        <v>226</v>
      </c>
      <c r="K26" s="228" t="s">
        <v>225</v>
      </c>
      <c r="L26" s="231" t="s">
        <v>3199</v>
      </c>
      <c r="M26" s="204"/>
      <c r="N26" s="204"/>
      <c r="O26" s="204"/>
      <c r="P26" s="204"/>
      <c r="Q26" s="231" t="b">
        <v>0</v>
      </c>
      <c r="R26" s="231" t="s">
        <v>226</v>
      </c>
      <c r="S26" s="232" t="n">
        <v>46296.38375</v>
      </c>
      <c r="T26" s="233">
        <f>HYPERLINK("http://localhost:8844/AdminKuakeAutomationReport_20261001_083000.html","Open report")</f>
      </c>
      <c r="U26" s="204"/>
      <c r="V26" s="204"/>
      <c r="W26" s="204"/>
      <c r="X26" s="204"/>
      <c r="Y26" s="204"/>
      <c r="Z26" s="204"/>
    </row>
    <row r="27" ht="15.0" customHeight="true">
      <c r="A27" s="228" t="s">
        <v>4119</v>
      </c>
      <c r="B27" s="228" t="s">
        <v>4120</v>
      </c>
      <c r="C27" s="228" t="s">
        <v>4121</v>
      </c>
      <c r="D27" s="228" t="s">
        <v>4122</v>
      </c>
      <c r="E27" s="228" t="s">
        <v>4123</v>
      </c>
      <c r="F27" s="228" t="s">
        <v>4124</v>
      </c>
      <c r="G27" s="228" t="s">
        <v>4125</v>
      </c>
      <c r="H27" s="228" t="s">
        <v>4126</v>
      </c>
      <c r="I27" s="229" t="s">
        <v>4127</v>
      </c>
      <c r="J27" s="230" t="s">
        <v>226</v>
      </c>
      <c r="K27" s="228" t="s">
        <v>227</v>
      </c>
      <c r="L27" s="231" t="s">
        <v>3199</v>
      </c>
      <c r="M27" s="204"/>
      <c r="N27" s="204"/>
      <c r="O27" s="204"/>
      <c r="P27" s="204"/>
      <c r="Q27" s="231" t="b">
        <v>0</v>
      </c>
      <c r="R27" s="231" t="s">
        <v>226</v>
      </c>
      <c r="S27" s="232" t="n">
        <v>46296.382743055554</v>
      </c>
      <c r="T27" s="233">
        <f>HYPERLINK("http://localhost:8844/AdminKuakeAutomationReport_20261001_083000.html","Open report")</f>
      </c>
      <c r="U27" s="204"/>
      <c r="V27" s="204"/>
      <c r="W27" s="204"/>
      <c r="X27" s="204"/>
      <c r="Y27" s="204"/>
      <c r="Z27" s="204"/>
    </row>
    <row r="28" ht="15.0" customHeight="true">
      <c r="A28" s="228" t="s">
        <v>4128</v>
      </c>
      <c r="B28" s="228" t="s">
        <v>4129</v>
      </c>
      <c r="C28" s="228" t="s">
        <v>4130</v>
      </c>
      <c r="D28" s="228" t="s">
        <v>4131</v>
      </c>
      <c r="E28" s="228" t="s">
        <v>4132</v>
      </c>
      <c r="F28" s="228" t="s">
        <v>4133</v>
      </c>
      <c r="G28" s="228" t="s">
        <v>4134</v>
      </c>
      <c r="H28" s="228" t="s">
        <v>4135</v>
      </c>
      <c r="I28" s="229" t="s">
        <v>4136</v>
      </c>
      <c r="J28" s="230" t="s">
        <v>226</v>
      </c>
      <c r="K28" s="228" t="s">
        <v>225</v>
      </c>
      <c r="L28" s="231" t="s">
        <v>3199</v>
      </c>
      <c r="M28" s="204"/>
      <c r="N28" s="204"/>
      <c r="O28" s="204"/>
      <c r="P28" s="204"/>
      <c r="Q28" s="231" t="b">
        <v>0</v>
      </c>
      <c r="R28" s="231" t="s">
        <v>226</v>
      </c>
      <c r="S28" s="232" t="n">
        <v>46296.38291666667</v>
      </c>
      <c r="T28" s="233">
        <f>HYPERLINK("http://localhost:8844/AdminKuakeAutomationReport_20261001_083000.html","Open report")</f>
      </c>
      <c r="U28" s="204"/>
      <c r="V28" s="204"/>
      <c r="W28" s="204"/>
      <c r="X28" s="204"/>
      <c r="Y28" s="204"/>
      <c r="Z28" s="204"/>
    </row>
    <row r="29" ht="15.0" customHeight="true">
      <c r="A29" s="228" t="s">
        <v>4137</v>
      </c>
      <c r="B29" s="228" t="s">
        <v>4138</v>
      </c>
      <c r="C29" s="228" t="s">
        <v>4139</v>
      </c>
      <c r="D29" s="228" t="s">
        <v>4131</v>
      </c>
      <c r="E29" s="228" t="s">
        <v>4140</v>
      </c>
      <c r="F29" s="228" t="s">
        <v>4141</v>
      </c>
      <c r="G29" s="228" t="s">
        <v>4142</v>
      </c>
      <c r="H29" s="228" t="s">
        <v>4143</v>
      </c>
      <c r="I29" s="229" t="s">
        <v>4144</v>
      </c>
      <c r="J29" s="230" t="s">
        <v>226</v>
      </c>
      <c r="K29" s="228" t="s">
        <v>225</v>
      </c>
      <c r="L29" s="231" t="s">
        <v>3199</v>
      </c>
      <c r="M29" s="204"/>
      <c r="N29" s="204"/>
      <c r="O29" s="204"/>
      <c r="P29" s="204"/>
      <c r="Q29" s="231" t="b">
        <v>0</v>
      </c>
      <c r="R29" s="231" t="s">
        <v>226</v>
      </c>
      <c r="S29" s="232" t="n">
        <v>46296.383368055554</v>
      </c>
      <c r="T29" s="233">
        <f>HYPERLINK("http://localhost:8844/AdminKuakeAutomationReport_20261001_083000.html","Open report")</f>
      </c>
      <c r="U29" s="204"/>
      <c r="V29" s="204"/>
      <c r="W29" s="204"/>
      <c r="X29" s="204"/>
      <c r="Y29" s="204"/>
      <c r="Z29" s="204"/>
    </row>
    <row r="30" ht="15.0" customHeight="true">
      <c r="A30" s="228" t="s">
        <v>4145</v>
      </c>
      <c r="B30" s="228" t="s">
        <v>4146</v>
      </c>
      <c r="C30" s="228" t="s">
        <v>4147</v>
      </c>
      <c r="D30" s="228" t="s">
        <v>4148</v>
      </c>
      <c r="E30" s="228" t="s">
        <v>4149</v>
      </c>
      <c r="F30" s="228" t="s">
        <v>4150</v>
      </c>
      <c r="G30" s="228" t="s">
        <v>4151</v>
      </c>
      <c r="H30" s="228" t="s">
        <v>4152</v>
      </c>
      <c r="I30" s="229" t="s">
        <v>4153</v>
      </c>
      <c r="J30" s="230" t="s">
        <v>226</v>
      </c>
      <c r="K30" s="228" t="s">
        <v>227</v>
      </c>
      <c r="L30" s="231" t="s">
        <v>3199</v>
      </c>
      <c r="M30" s="204"/>
      <c r="N30" s="204"/>
      <c r="O30" s="204"/>
      <c r="P30" s="204"/>
      <c r="Q30" s="231" t="b">
        <v>0</v>
      </c>
      <c r="R30" s="231" t="s">
        <v>226</v>
      </c>
      <c r="S30" s="232" t="n">
        <v>46296.38103009259</v>
      </c>
      <c r="T30" s="233">
        <f>HYPERLINK("http://localhost:8844/AdminKuakeAutomationReport_20261001_083000.html","Open report")</f>
      </c>
      <c r="U30" s="204"/>
      <c r="V30" s="204"/>
      <c r="W30" s="204"/>
      <c r="X30" s="204"/>
      <c r="Y30" s="204"/>
      <c r="Z30" s="204"/>
    </row>
    <row r="31" ht="15.0" customHeight="true">
      <c r="A31" s="228" t="s">
        <v>4154</v>
      </c>
      <c r="B31" s="228" t="s">
        <v>4155</v>
      </c>
      <c r="C31" s="228" t="s">
        <v>4156</v>
      </c>
      <c r="D31" s="228" t="s">
        <v>4148</v>
      </c>
      <c r="E31" s="228" t="s">
        <v>4157</v>
      </c>
      <c r="F31" s="228" t="s">
        <v>4158</v>
      </c>
      <c r="G31" s="228" t="s">
        <v>4159</v>
      </c>
      <c r="H31" s="228" t="s">
        <v>4017</v>
      </c>
      <c r="I31" s="229" t="s">
        <v>4160</v>
      </c>
      <c r="J31" s="230" t="s">
        <v>226</v>
      </c>
      <c r="K31" s="228" t="s">
        <v>229</v>
      </c>
      <c r="L31" s="231" t="s">
        <v>3199</v>
      </c>
      <c r="M31" s="204"/>
      <c r="N31" s="204"/>
      <c r="O31" s="204"/>
      <c r="P31" s="204"/>
      <c r="Q31" s="231" t="b">
        <v>0</v>
      </c>
      <c r="R31" s="231" t="s">
        <v>226</v>
      </c>
      <c r="S31" s="232" t="n">
        <v>46296.38394675926</v>
      </c>
      <c r="T31" s="233">
        <f>HYPERLINK("http://localhost:8844/AdminKuakeAutomationReport_20261001_083000.html","Open report")</f>
      </c>
      <c r="U31" s="204"/>
      <c r="V31" s="204"/>
      <c r="W31" s="204"/>
      <c r="X31" s="204"/>
      <c r="Y31" s="204"/>
      <c r="Z31" s="204"/>
    </row>
    <row r="32" ht="15.0" customHeight="true">
      <c r="A32" s="228" t="s">
        <v>4161</v>
      </c>
      <c r="B32" s="228" t="s">
        <v>4162</v>
      </c>
      <c r="C32" s="228" t="s">
        <v>4163</v>
      </c>
      <c r="D32" s="228" t="s">
        <v>4113</v>
      </c>
      <c r="E32" s="228" t="s">
        <v>4164</v>
      </c>
      <c r="F32" s="238" t="s">
        <v>4165</v>
      </c>
      <c r="G32" s="228" t="s">
        <v>4166</v>
      </c>
      <c r="H32" s="228" t="s">
        <v>4167</v>
      </c>
      <c r="I32" s="229" t="s">
        <v>4168</v>
      </c>
      <c r="J32" s="230" t="s">
        <v>226</v>
      </c>
      <c r="K32" s="228" t="s">
        <v>225</v>
      </c>
      <c r="L32" s="231" t="s">
        <v>3199</v>
      </c>
      <c r="M32" s="204"/>
      <c r="N32" s="204"/>
      <c r="O32" s="204"/>
      <c r="P32" s="204"/>
      <c r="Q32" s="231" t="b">
        <v>0</v>
      </c>
      <c r="R32" s="231" t="s">
        <v>226</v>
      </c>
      <c r="S32" s="232" t="n">
        <v>46300.68503472222</v>
      </c>
      <c r="T32" s="233">
        <f>HYPERLINK("http://localhost:8844/AdminKuakeAutomationReport_20261005_162553.html", "Open report")</f>
      </c>
      <c r="U32" s="204"/>
      <c r="V32" s="204"/>
      <c r="W32" s="204"/>
      <c r="X32" s="204"/>
      <c r="Y32" s="204"/>
      <c r="Z32" s="204"/>
    </row>
    <row r="33" ht="15.0" customHeight="true">
      <c r="A33" s="228" t="s">
        <v>4169</v>
      </c>
      <c r="B33" s="228" t="s">
        <v>4170</v>
      </c>
      <c r="C33" s="228" t="s">
        <v>4171</v>
      </c>
      <c r="D33" s="228" t="s">
        <v>4113</v>
      </c>
      <c r="E33" s="228" t="s">
        <v>4172</v>
      </c>
      <c r="F33" s="238" t="s">
        <v>4173</v>
      </c>
      <c r="G33" s="228" t="s">
        <v>4174</v>
      </c>
      <c r="H33" s="228" t="s">
        <v>4167</v>
      </c>
      <c r="I33" s="229" t="s">
        <v>4175</v>
      </c>
      <c r="J33" s="230" t="s">
        <v>226</v>
      </c>
      <c r="K33" s="228" t="s">
        <v>225</v>
      </c>
      <c r="L33" s="231" t="s">
        <v>3199</v>
      </c>
      <c r="M33" s="204"/>
      <c r="N33" s="204"/>
      <c r="O33" s="204"/>
      <c r="P33" s="204"/>
      <c r="Q33" s="231" t="b">
        <v>0</v>
      </c>
      <c r="R33" s="231" t="s">
        <v>226</v>
      </c>
      <c r="S33" s="232" t="n">
        <v>46300.68366898148</v>
      </c>
      <c r="T33" s="233">
        <f>HYPERLINK("http://localhost:8844/AdminKuakeAutomationReport_20261005_162255.html","Open report")</f>
      </c>
      <c r="U33" s="204"/>
      <c r="V33" s="204"/>
      <c r="W33" s="204"/>
      <c r="X33" s="204"/>
      <c r="Y33" s="204"/>
      <c r="Z33" s="204"/>
    </row>
    <row r="34" ht="15.0" customHeight="true">
      <c r="A34" s="228" t="s">
        <v>4176</v>
      </c>
      <c r="B34" s="228" t="s">
        <v>4177</v>
      </c>
      <c r="C34" s="228" t="s">
        <v>4178</v>
      </c>
      <c r="D34" s="228" t="s">
        <v>4113</v>
      </c>
      <c r="E34" s="228" t="s">
        <v>4179</v>
      </c>
      <c r="F34" s="238" t="s">
        <v>4180</v>
      </c>
      <c r="G34" s="228" t="s">
        <v>4181</v>
      </c>
      <c r="H34" s="228" t="s">
        <v>4167</v>
      </c>
      <c r="I34" s="229" t="s">
        <v>4182</v>
      </c>
      <c r="J34" s="230" t="s">
        <v>226</v>
      </c>
      <c r="K34" s="228" t="s">
        <v>225</v>
      </c>
      <c r="L34" s="231" t="s">
        <v>3199</v>
      </c>
      <c r="M34" s="204"/>
      <c r="N34" s="204"/>
      <c r="O34" s="204"/>
      <c r="P34" s="204"/>
      <c r="Q34" s="231" t="b">
        <v>0</v>
      </c>
      <c r="R34" s="231" t="s">
        <v>226</v>
      </c>
      <c r="S34" s="232" t="n">
        <v>46300.68403935185</v>
      </c>
      <c r="T34" s="233">
        <f>HYPERLINK("http://localhost:8844/AdminKuakeAutomationReport_20261005_162255.html","Open report")</f>
      </c>
      <c r="U34" s="204"/>
      <c r="V34" s="204"/>
      <c r="W34" s="204"/>
      <c r="X34" s="204"/>
      <c r="Y34" s="204"/>
      <c r="Z34" s="204"/>
    </row>
    <row r="35" ht="15.0" customHeight="true">
      <c r="A35" s="228" t="s">
        <v>4183</v>
      </c>
      <c r="B35" s="228" t="s">
        <v>4184</v>
      </c>
      <c r="C35" s="228" t="s">
        <v>4185</v>
      </c>
      <c r="D35" s="228" t="s">
        <v>4113</v>
      </c>
      <c r="E35" s="228" t="s">
        <v>4186</v>
      </c>
      <c r="F35" s="228" t="s">
        <v>4187</v>
      </c>
      <c r="G35" s="228" t="s">
        <v>4188</v>
      </c>
      <c r="H35" s="228" t="s">
        <v>4167</v>
      </c>
      <c r="I35" s="229" t="s">
        <v>4189</v>
      </c>
      <c r="J35" s="230" t="s">
        <v>226</v>
      </c>
      <c r="K35" s="228" t="s">
        <v>225</v>
      </c>
      <c r="L35" s="231" t="s">
        <v>3199</v>
      </c>
      <c r="M35" s="204"/>
      <c r="N35" s="204"/>
      <c r="O35" s="204"/>
      <c r="P35" s="204"/>
      <c r="Q35" s="231" t="b">
        <v>0</v>
      </c>
      <c r="R35" s="231" t="s">
        <v>226</v>
      </c>
      <c r="S35" s="232" t="n">
        <v>46300.68332175926</v>
      </c>
      <c r="T35" s="233">
        <f>HYPERLINK("http://localhost:8844/AdminKuakeAutomationReport_20261005_162255.html","Open report")</f>
      </c>
      <c r="U35" s="204"/>
      <c r="V35" s="204"/>
      <c r="W35" s="204"/>
      <c r="X35" s="204"/>
      <c r="Y35" s="204"/>
      <c r="Z35" s="204"/>
    </row>
    <row r="36" ht="15.0" customHeight="true">
      <c r="A36" s="228" t="s">
        <v>4190</v>
      </c>
      <c r="B36" s="228" t="s">
        <v>4191</v>
      </c>
      <c r="C36" s="228" t="s">
        <v>4192</v>
      </c>
      <c r="D36" s="228" t="s">
        <v>4148</v>
      </c>
      <c r="E36" s="228" t="s">
        <v>4193</v>
      </c>
      <c r="F36" s="238" t="s">
        <v>4194</v>
      </c>
      <c r="G36" s="228" t="s">
        <v>4195</v>
      </c>
      <c r="H36" s="228" t="s">
        <v>3334</v>
      </c>
      <c r="I36" s="229" t="s">
        <v>4196</v>
      </c>
      <c r="J36" s="230" t="s">
        <v>226</v>
      </c>
      <c r="K36" s="228" t="s">
        <v>225</v>
      </c>
      <c r="L36" s="231" t="s">
        <v>3199</v>
      </c>
      <c r="M36" s="204"/>
      <c r="N36" s="204"/>
      <c r="O36" s="204"/>
      <c r="P36" s="204"/>
      <c r="Q36" s="231" t="b">
        <v>0</v>
      </c>
      <c r="R36" s="231" t="s">
        <v>226</v>
      </c>
      <c r="S36" s="232" t="n">
        <v>46296.38070601852</v>
      </c>
      <c r="T36" s="233">
        <f>HYPERLINK("http://localhost:8844/AdminKuakeAutomationReport_20261001_083000.html","Open report")</f>
      </c>
      <c r="U36" s="204"/>
      <c r="V36" s="204"/>
      <c r="W36" s="204"/>
      <c r="X36" s="204"/>
      <c r="Y36" s="204"/>
      <c r="Z36" s="204"/>
    </row>
    <row r="37" ht="15.0" customHeight="true">
      <c r="A37" s="228" t="s">
        <v>4197</v>
      </c>
      <c r="B37" s="228" t="s">
        <v>4198</v>
      </c>
      <c r="C37" s="228" t="s">
        <v>4199</v>
      </c>
      <c r="D37" s="228" t="s">
        <v>4113</v>
      </c>
      <c r="E37" s="228" t="s">
        <v>4200</v>
      </c>
      <c r="F37" s="228" t="s">
        <v>4085</v>
      </c>
      <c r="G37" s="228" t="s">
        <v>4201</v>
      </c>
      <c r="H37" s="228" t="s">
        <v>4017</v>
      </c>
      <c r="I37" s="229" t="s">
        <v>4202</v>
      </c>
      <c r="J37" s="230" t="s">
        <v>226</v>
      </c>
      <c r="K37" s="228" t="s">
        <v>227</v>
      </c>
      <c r="L37" s="231" t="s">
        <v>3199</v>
      </c>
      <c r="M37" s="204"/>
      <c r="N37" s="204"/>
      <c r="O37" s="204"/>
      <c r="P37" s="204"/>
      <c r="Q37" s="231" t="b">
        <v>0</v>
      </c>
      <c r="R37" s="231" t="s">
        <v>226</v>
      </c>
      <c r="S37" s="232" t="n">
        <v>46296.3830787037</v>
      </c>
      <c r="T37" s="233">
        <f>HYPERLINK("http://localhost:8844/AdminKuakeAutomationReport_20261001_083000.html","Open report")</f>
      </c>
      <c r="U37" s="204"/>
      <c r="V37" s="204"/>
      <c r="W37" s="204"/>
      <c r="X37" s="204"/>
      <c r="Y37" s="204"/>
      <c r="Z37" s="204"/>
    </row>
    <row r="38" ht="15.0" customHeight="true">
      <c r="A38" s="234" t="s">
        <v>4203</v>
      </c>
      <c r="B38" s="234" t="s">
        <v>4204</v>
      </c>
      <c r="C38" s="234" t="s">
        <v>4205</v>
      </c>
      <c r="D38" s="234" t="s">
        <v>4113</v>
      </c>
      <c r="E38" s="234" t="s">
        <v>4206</v>
      </c>
      <c r="F38" s="234" t="s">
        <v>4207</v>
      </c>
      <c r="G38" s="235" t="s">
        <v>4208</v>
      </c>
      <c r="H38" s="234" t="s">
        <v>4017</v>
      </c>
      <c r="I38" s="235" t="s">
        <v>4208</v>
      </c>
      <c r="J38" s="230" t="s">
        <v>226</v>
      </c>
      <c r="K38" s="234" t="s">
        <v>229</v>
      </c>
      <c r="L38" s="231" t="s">
        <v>3199</v>
      </c>
      <c r="M38" s="204"/>
      <c r="N38" s="204"/>
      <c r="O38" s="204"/>
      <c r="P38" s="204"/>
      <c r="Q38" s="231" t="b">
        <v>0</v>
      </c>
      <c r="R38" s="231" t="s">
        <v>226</v>
      </c>
      <c r="S38" s="232" t="n">
        <v>46296.382361111115</v>
      </c>
      <c r="T38" s="233">
        <f>HYPERLINK("http://localhost:8844/AdminKuakeAutomationReport_20261001_083000.html","Open report")</f>
      </c>
      <c r="U38" s="204"/>
      <c r="V38" s="204"/>
      <c r="W38" s="204"/>
      <c r="X38" s="204"/>
      <c r="Y38" s="204"/>
      <c r="Z38" s="204"/>
    </row>
    <row r="39" ht="15.0" customHeight="true">
      <c r="A39" s="225" t="s">
        <v>4209</v>
      </c>
      <c r="B39" s="226"/>
      <c r="C39" s="226"/>
      <c r="D39" s="226"/>
      <c r="E39" s="226"/>
      <c r="F39" s="226"/>
      <c r="G39" s="226"/>
      <c r="H39" s="226"/>
      <c r="I39" s="226"/>
      <c r="J39" s="236"/>
      <c r="K39" s="227"/>
      <c r="L39" s="204"/>
      <c r="M39" s="204"/>
      <c r="N39" s="204"/>
      <c r="O39" s="204"/>
      <c r="P39" s="204"/>
      <c r="Q39" s="204"/>
      <c r="R39" s="204"/>
      <c r="S39" s="237"/>
      <c r="T39" s="204"/>
      <c r="U39" s="204"/>
      <c r="V39" s="204"/>
      <c r="W39" s="204"/>
      <c r="X39" s="204"/>
      <c r="Y39" s="204"/>
      <c r="Z39" s="204"/>
    </row>
    <row r="40" ht="15.0" customHeight="true">
      <c r="A40" s="230" t="s">
        <v>4210</v>
      </c>
      <c r="B40" s="230" t="s">
        <v>4211</v>
      </c>
      <c r="C40" s="230" t="s">
        <v>4212</v>
      </c>
      <c r="D40" s="230" t="s">
        <v>4106</v>
      </c>
      <c r="E40" s="230" t="s">
        <v>4213</v>
      </c>
      <c r="F40" s="230" t="s">
        <v>4214</v>
      </c>
      <c r="G40" s="230" t="s">
        <v>4215</v>
      </c>
      <c r="H40" s="230" t="s">
        <v>4017</v>
      </c>
      <c r="I40" s="240" t="s">
        <v>3292</v>
      </c>
      <c r="J40" s="230" t="s">
        <v>226</v>
      </c>
      <c r="K40" s="230" t="s">
        <v>225</v>
      </c>
      <c r="L40" s="231" t="s">
        <v>3199</v>
      </c>
      <c r="M40" s="204"/>
      <c r="N40" s="204"/>
      <c r="O40" s="204"/>
      <c r="P40" s="204"/>
      <c r="Q40" s="231" t="b">
        <v>0</v>
      </c>
      <c r="R40" s="231" t="s">
        <v>226</v>
      </c>
      <c r="S40" s="232" t="n">
        <v>46296.384664351855</v>
      </c>
      <c r="T40" s="233">
        <f>HYPERLINK("http://localhost:8844/AdminKuakeAutomationReport_20261001_083000.html","Open report")</f>
      </c>
      <c r="U40" s="204"/>
      <c r="V40" s="204"/>
      <c r="W40" s="204"/>
      <c r="X40" s="204"/>
      <c r="Y40" s="204"/>
      <c r="Z40" s="204"/>
    </row>
    <row r="41" ht="15.0" customHeight="true">
      <c r="A41" s="228" t="s">
        <v>4216</v>
      </c>
      <c r="B41" s="228" t="s">
        <v>4217</v>
      </c>
      <c r="C41" s="228" t="s">
        <v>4218</v>
      </c>
      <c r="D41" s="228" t="s">
        <v>4219</v>
      </c>
      <c r="E41" s="228" t="s">
        <v>4220</v>
      </c>
      <c r="F41" s="228" t="s">
        <v>4221</v>
      </c>
      <c r="G41" s="228" t="s">
        <v>4222</v>
      </c>
      <c r="H41" s="228" t="s">
        <v>4017</v>
      </c>
      <c r="I41" s="229" t="s">
        <v>4223</v>
      </c>
      <c r="J41" s="230" t="s">
        <v>226</v>
      </c>
      <c r="K41" s="228" t="s">
        <v>225</v>
      </c>
      <c r="L41" s="231" t="s">
        <v>3199</v>
      </c>
      <c r="M41" s="204"/>
      <c r="N41" s="204"/>
      <c r="O41" s="204"/>
      <c r="P41" s="204"/>
      <c r="Q41" s="231" t="b">
        <v>0</v>
      </c>
      <c r="R41" s="231" t="s">
        <v>226</v>
      </c>
      <c r="S41" s="232" t="n">
        <v>46296.38489583333</v>
      </c>
      <c r="T41" s="233">
        <f>HYPERLINK("http://localhost:8844/AdminKuakeAutomationReport_20261001_083000.html","Open report")</f>
      </c>
      <c r="U41" s="204"/>
      <c r="V41" s="204"/>
      <c r="W41" s="204"/>
      <c r="X41" s="204"/>
      <c r="Y41" s="204"/>
      <c r="Z41" s="204"/>
    </row>
    <row r="42" ht="15.0" customHeight="true">
      <c r="A42" s="228" t="s">
        <v>4224</v>
      </c>
      <c r="B42" s="228" t="s">
        <v>4225</v>
      </c>
      <c r="C42" s="228" t="s">
        <v>4226</v>
      </c>
      <c r="D42" s="228" t="s">
        <v>4227</v>
      </c>
      <c r="E42" s="228" t="s">
        <v>4228</v>
      </c>
      <c r="F42" s="228" t="s">
        <v>4229</v>
      </c>
      <c r="G42" s="228" t="s">
        <v>4230</v>
      </c>
      <c r="H42" s="228" t="s">
        <v>4017</v>
      </c>
      <c r="I42" s="229" t="s">
        <v>4231</v>
      </c>
      <c r="J42" s="230" t="s">
        <v>226</v>
      </c>
      <c r="K42" s="228" t="s">
        <v>225</v>
      </c>
      <c r="L42" s="231" t="s">
        <v>3199</v>
      </c>
      <c r="M42" s="204"/>
      <c r="N42" s="204"/>
      <c r="O42" s="204"/>
      <c r="P42" s="204"/>
      <c r="Q42" s="231" t="b">
        <v>0</v>
      </c>
      <c r="R42" s="231" t="s">
        <v>226</v>
      </c>
      <c r="S42" s="232" t="n">
        <v>46296.35980324074</v>
      </c>
      <c r="T42" s="233">
        <f>HYPERLINK("http://localhost:8844/AdminKuakeAutomationReport_20261001_083000.html","Open report")</f>
      </c>
      <c r="U42" s="204"/>
      <c r="V42" s="204"/>
      <c r="W42" s="204"/>
      <c r="X42" s="204"/>
      <c r="Y42" s="204"/>
      <c r="Z42" s="204"/>
    </row>
  </sheetData>
  <mergeCells count="1">
    <mergeCell ref="A8:B8"/>
  </mergeCells>
  <pageMargins bottom="0.75" footer="0.3" header="0.3" left="0.7" right="0.7" top="0.75"/>
</worksheet>
</file>

<file path=xl/worksheets/sheet10.xml><?xml version="1.0" encoding="utf-8"?>
<worksheet xmlns="http://schemas.openxmlformats.org/spreadsheetml/2006/main">
  <sheetPr>
    <tabColor xmlns:r="http://schemas.openxmlformats.org/officeDocument/2006/relationships" xmlns:xm="http://schemas.microsoft.com/office/excel/2006/main" xmlns:mc="http://schemas.openxmlformats.org/markup-compatibility/2006" xmlns:mv="urn:schemas-microsoft-com:mac:vml" xmlns:x14="http://schemas.microsoft.com/office/spreadsheetml/2009/9/main" xmlns:mx="http://schemas.microsoft.com/office/mac/excel/2008/main" xmlns:x15="http://schemas.microsoft.com/office/spreadsheetml/2010/11/main" xmlns:x14ac="http://schemas.microsoft.com/office/spreadsheetml/2009/9/ac" rgb="FF00FF00"/>
  </sheetPr>
  <dimension ref="A1:AB97"/>
  <sheetViews>
    <sheetView workbookViewId="0"/>
  </sheetViews>
  <sheetFormatPr defaultRowHeight="15.0"/>
  <cols>
    <col min="1" max="1" width="20.37890625" customWidth="true"/>
    <col min="2" max="2" width="30.25" customWidth="true"/>
    <col min="3" max="3" width="30.87890625" customWidth="true"/>
    <col min="4" max="4" width="28.75" customWidth="true"/>
    <col min="5" max="5" width="44.62890625" customWidth="true"/>
    <col min="6" max="6" width="22.87890625" customWidth="true"/>
    <col min="7" max="7" width="42.0" customWidth="true"/>
    <col min="8" max="8" width="17.25" customWidth="true"/>
    <col min="9" max="9" width="45.37890625" customWidth="true"/>
    <col min="10" max="10" width="18.75" customWidth="true"/>
    <col min="11" max="11" width="12.0" customWidth="true"/>
    <col min="12" max="12" width="12.87890625" customWidth="true"/>
    <col min="13" max="13" width="22.37890625" customWidth="true"/>
    <col min="14" max="14" width="10.25" customWidth="true"/>
    <col min="15" max="15" width="10.25" customWidth="true"/>
    <col min="16" max="16" width="10.25" customWidth="true"/>
    <col min="17" max="17" width="10.25" customWidth="true"/>
    <col min="18" max="18" width="10.25" customWidth="true"/>
    <col min="19" max="19" width="10.25" customWidth="true"/>
    <col min="20" max="20" width="10.25" customWidth="true"/>
    <col min="21" max="21" width="10.25" customWidth="true"/>
    <col min="22" max="22" width="10.25" customWidth="true"/>
    <col min="23" max="23" width="10.25" customWidth="true"/>
    <col min="24" max="24" width="10.25" customWidth="true"/>
    <col min="25" max="25" width="10.25" customWidth="true"/>
    <col min="26" max="26" width="10.25" customWidth="true"/>
    <col min="27" max="27" width="10.25" customWidth="true"/>
    <col min="28" max="28" width="10.25" customWidth="true"/>
  </cols>
  <sheetData>
    <row r="1" ht="23.25" customHeight="true">
      <c r="A1" s="241" t="s">
        <v>4232</v>
      </c>
      <c r="B1" s="242" t="s">
        <v>233</v>
      </c>
      <c r="C1" s="243"/>
      <c r="D1" s="244">
        <f>COUNTIF(J11:J338, E1)/F1</f>
      </c>
      <c r="E1" s="245" t="s">
        <v>234</v>
      </c>
      <c r="F1" s="246">
        <f>COUNTIFS(G11:G97,"&lt;&gt;")</f>
      </c>
      <c r="G1" s="247" t="s">
        <v>140</v>
      </c>
      <c r="H1" s="248"/>
      <c r="I1" s="243"/>
      <c r="J1" s="249"/>
      <c r="K1" s="243"/>
      <c r="L1" s="243"/>
      <c r="M1" s="243" t="s">
        <v>4233</v>
      </c>
      <c r="N1" s="243"/>
      <c r="O1" s="243"/>
      <c r="P1" s="243"/>
      <c r="Q1" s="243"/>
      <c r="R1" s="243"/>
      <c r="S1" s="243"/>
      <c r="T1" s="243"/>
      <c r="U1" s="243"/>
      <c r="V1" s="243"/>
      <c r="W1" s="243"/>
      <c r="X1" s="243"/>
      <c r="Y1" s="243"/>
      <c r="Z1" s="243"/>
      <c r="AA1" s="243"/>
      <c r="AB1" s="243"/>
    </row>
    <row r="2" ht="23.25" customHeight="true">
      <c r="A2" s="250" t="s">
        <v>4234</v>
      </c>
      <c r="B2" s="251" t="s">
        <v>4235</v>
      </c>
      <c r="C2" s="243"/>
      <c r="D2" s="252">
        <f>COUNTIF(J11:J338, E2)/F1</f>
      </c>
      <c r="E2" s="253" t="s">
        <v>238</v>
      </c>
      <c r="F2" s="254">
        <f>ROWS(A:A)</f>
      </c>
      <c r="G2" s="255" t="s">
        <v>239</v>
      </c>
      <c r="H2" s="248"/>
      <c r="I2" s="243"/>
      <c r="J2" s="249"/>
      <c r="K2" s="243"/>
      <c r="L2" s="243"/>
      <c r="M2" s="243"/>
      <c r="N2" s="243"/>
      <c r="O2" s="243"/>
      <c r="P2" s="243"/>
      <c r="Q2" s="243"/>
      <c r="R2" s="243"/>
      <c r="S2" s="243"/>
      <c r="T2" s="243"/>
      <c r="U2" s="243"/>
      <c r="V2" s="243"/>
      <c r="W2" s="243"/>
      <c r="X2" s="243"/>
      <c r="Y2" s="243"/>
      <c r="Z2" s="243"/>
      <c r="AA2" s="243"/>
      <c r="AB2" s="243"/>
    </row>
    <row r="3" ht="23.25" customHeight="true">
      <c r="A3" s="250" t="s">
        <v>4236</v>
      </c>
      <c r="B3" s="256" t="s">
        <v>4237</v>
      </c>
      <c r="C3" s="243"/>
      <c r="D3" s="257">
        <f>COUNTIF(J11:J338, E3)/F1</f>
      </c>
      <c r="E3" s="258" t="s">
        <v>243</v>
      </c>
      <c r="F3" s="259"/>
      <c r="G3" s="260"/>
      <c r="H3" s="248"/>
      <c r="I3" s="243"/>
      <c r="J3" s="249"/>
      <c r="K3" s="243"/>
      <c r="L3" s="243"/>
      <c r="M3" s="243"/>
      <c r="N3" s="243"/>
      <c r="O3" s="243"/>
      <c r="P3" s="243"/>
      <c r="Q3" s="243"/>
      <c r="R3" s="243"/>
      <c r="S3" s="243"/>
      <c r="T3" s="243"/>
      <c r="U3" s="243"/>
      <c r="V3" s="243"/>
      <c r="W3" s="243"/>
      <c r="X3" s="243"/>
      <c r="Y3" s="243"/>
      <c r="Z3" s="243"/>
      <c r="AA3" s="243"/>
      <c r="AB3" s="243"/>
    </row>
    <row r="4" ht="23.25" customHeight="true">
      <c r="A4" s="250" t="s">
        <v>4238</v>
      </c>
      <c r="B4" s="251" t="s">
        <v>4239</v>
      </c>
      <c r="C4" s="243"/>
      <c r="D4" s="261">
        <f>SUM(D1:D3)</f>
      </c>
      <c r="E4" s="262" t="s">
        <v>247</v>
      </c>
      <c r="F4" s="259"/>
      <c r="G4" s="260"/>
      <c r="H4" s="248"/>
      <c r="I4" s="243"/>
      <c r="J4" s="249"/>
      <c r="K4" s="243"/>
      <c r="L4" s="243"/>
      <c r="M4" s="243"/>
      <c r="N4" s="243"/>
      <c r="O4" s="243"/>
      <c r="P4" s="243"/>
      <c r="Q4" s="243"/>
      <c r="R4" s="243"/>
      <c r="S4" s="243"/>
      <c r="T4" s="243"/>
      <c r="U4" s="243"/>
      <c r="V4" s="243"/>
      <c r="W4" s="243"/>
      <c r="X4" s="243"/>
      <c r="Y4" s="243"/>
      <c r="Z4" s="243"/>
      <c r="AA4" s="243"/>
      <c r="AB4" s="243"/>
    </row>
    <row r="5" ht="23.25" customHeight="true">
      <c r="A5" s="250" t="s">
        <v>4240</v>
      </c>
      <c r="B5" s="263" t="n">
        <v>45966.0</v>
      </c>
      <c r="C5" s="243"/>
      <c r="D5" s="243"/>
      <c r="E5" s="243"/>
      <c r="F5" s="243"/>
      <c r="G5" s="248"/>
      <c r="H5" s="248"/>
      <c r="I5" s="243"/>
      <c r="J5" s="249"/>
      <c r="K5" s="243"/>
      <c r="L5" s="243"/>
      <c r="M5" s="243"/>
      <c r="N5" s="243"/>
      <c r="O5" s="243"/>
      <c r="P5" s="243"/>
      <c r="Q5" s="243"/>
      <c r="R5" s="243"/>
      <c r="S5" s="243"/>
      <c r="T5" s="243"/>
      <c r="U5" s="243"/>
      <c r="V5" s="243"/>
      <c r="W5" s="243"/>
      <c r="X5" s="243"/>
      <c r="Y5" s="243"/>
      <c r="Z5" s="243"/>
      <c r="AA5" s="243"/>
      <c r="AB5" s="243"/>
    </row>
    <row r="6" ht="23.25" customHeight="true">
      <c r="A6" s="250" t="s">
        <v>4241</v>
      </c>
      <c r="B6" s="264"/>
      <c r="C6" s="243"/>
      <c r="D6" s="243"/>
      <c r="E6" s="243"/>
      <c r="F6" s="243"/>
      <c r="G6" s="248"/>
      <c r="H6" s="248"/>
      <c r="I6" s="243"/>
      <c r="J6" s="249"/>
      <c r="K6" s="243"/>
      <c r="L6" s="243"/>
      <c r="M6" s="243"/>
      <c r="N6" s="243"/>
      <c r="O6" s="243"/>
      <c r="P6" s="243"/>
      <c r="Q6" s="243"/>
      <c r="R6" s="243"/>
      <c r="S6" s="243"/>
      <c r="T6" s="243"/>
      <c r="U6" s="243"/>
      <c r="V6" s="243"/>
      <c r="W6" s="243"/>
      <c r="X6" s="243"/>
      <c r="Y6" s="243"/>
      <c r="Z6" s="243"/>
      <c r="AA6" s="243"/>
      <c r="AB6" s="243"/>
    </row>
    <row r="7" ht="15.75" customHeight="true">
      <c r="A7" s="243"/>
      <c r="B7" s="243"/>
      <c r="C7" s="243"/>
      <c r="D7" s="243"/>
      <c r="E7" s="243"/>
      <c r="F7" s="243"/>
      <c r="G7" s="248"/>
      <c r="H7" s="248"/>
      <c r="I7" s="243"/>
      <c r="J7" s="249"/>
      <c r="K7" s="243"/>
      <c r="L7" s="243"/>
      <c r="M7" s="243"/>
      <c r="N7" s="243"/>
      <c r="O7" s="243"/>
      <c r="P7" s="243"/>
      <c r="Q7" s="243"/>
      <c r="R7" s="243"/>
      <c r="S7" s="243"/>
      <c r="T7" s="243"/>
      <c r="U7" s="243"/>
      <c r="V7" s="243"/>
      <c r="W7" s="243"/>
      <c r="X7" s="243"/>
      <c r="Y7" s="243"/>
      <c r="Z7" s="243"/>
      <c r="AA7" s="243"/>
      <c r="AB7" s="243"/>
    </row>
    <row r="8" ht="15.75" customHeight="true">
      <c r="A8" s="265" t="s">
        <v>250</v>
      </c>
      <c r="B8" s="266"/>
      <c r="C8" s="267"/>
      <c r="D8" s="267"/>
      <c r="E8" s="267"/>
      <c r="F8" s="267"/>
      <c r="G8" s="268"/>
      <c r="H8" s="268"/>
      <c r="I8" s="267"/>
      <c r="J8" s="269"/>
      <c r="K8" s="267"/>
      <c r="L8" s="267"/>
      <c r="M8" s="267"/>
      <c r="N8" s="267"/>
      <c r="O8" s="267"/>
      <c r="P8" s="267"/>
      <c r="Q8" s="267"/>
      <c r="R8" s="267"/>
      <c r="S8" s="267"/>
      <c r="T8" s="267"/>
      <c r="U8" s="267"/>
      <c r="V8" s="267"/>
      <c r="W8" s="267"/>
      <c r="X8" s="267"/>
      <c r="Y8" s="267"/>
      <c r="Z8" s="267"/>
      <c r="AA8" s="267"/>
      <c r="AB8" s="267"/>
    </row>
    <row r="9" ht="30.75" customHeight="true">
      <c r="A9" s="270" t="s">
        <v>252</v>
      </c>
      <c r="B9" s="270" t="s">
        <v>253</v>
      </c>
      <c r="C9" s="270" t="s">
        <v>254</v>
      </c>
      <c r="D9" s="270" t="s">
        <v>255</v>
      </c>
      <c r="E9" s="270" t="s">
        <v>256</v>
      </c>
      <c r="F9" s="270" t="s">
        <v>257</v>
      </c>
      <c r="G9" s="270" t="s">
        <v>258</v>
      </c>
      <c r="H9" s="270" t="s">
        <v>259</v>
      </c>
      <c r="I9" s="270" t="s">
        <v>260</v>
      </c>
      <c r="J9" s="270" t="s">
        <v>261</v>
      </c>
      <c r="K9" s="270" t="s">
        <v>4242</v>
      </c>
      <c r="L9" s="271"/>
      <c r="M9" s="271"/>
      <c r="N9" s="271"/>
      <c r="O9" s="271"/>
      <c r="P9" s="271"/>
      <c r="Q9" s="271"/>
      <c r="R9" s="271"/>
      <c r="S9" s="271"/>
      <c r="T9" s="271"/>
      <c r="U9" s="271"/>
      <c r="V9" s="271"/>
      <c r="W9" s="271"/>
      <c r="X9" s="271"/>
      <c r="Y9" s="271"/>
      <c r="Z9" s="271"/>
      <c r="AA9" s="272"/>
      <c r="AB9" s="272"/>
    </row>
    <row r="10" ht="39.0" customHeight="true">
      <c r="A10" s="273" t="s">
        <v>4243</v>
      </c>
      <c r="B10" s="274"/>
      <c r="C10" s="274"/>
      <c r="D10" s="274"/>
      <c r="E10" s="274"/>
      <c r="F10" s="274"/>
      <c r="G10" s="274"/>
      <c r="H10" s="274"/>
      <c r="I10" s="274"/>
      <c r="J10" s="274"/>
      <c r="K10" s="275"/>
      <c r="L10" s="276"/>
      <c r="M10" s="276"/>
      <c r="N10" s="276"/>
      <c r="O10" s="277"/>
      <c r="P10" s="277"/>
      <c r="Q10" s="277"/>
      <c r="R10" s="277"/>
      <c r="S10" s="277"/>
      <c r="T10" s="277"/>
      <c r="U10" s="277"/>
      <c r="V10" s="277"/>
      <c r="W10" s="277"/>
      <c r="X10" s="277"/>
      <c r="Y10" s="277"/>
      <c r="Z10" s="277"/>
      <c r="AA10" s="278"/>
      <c r="AB10" s="278"/>
    </row>
    <row r="11" ht="63.0" customHeight="true">
      <c r="A11" s="279" t="s">
        <v>4244</v>
      </c>
      <c r="B11" s="279" t="s">
        <v>4245</v>
      </c>
      <c r="C11" s="279" t="s">
        <v>4246</v>
      </c>
      <c r="D11" s="279" t="s">
        <v>4247</v>
      </c>
      <c r="E11" s="279" t="s">
        <v>4248</v>
      </c>
      <c r="F11" s="280" t="s">
        <v>4249</v>
      </c>
      <c r="G11" s="281" t="s">
        <v>4250</v>
      </c>
      <c r="H11" s="279" t="s">
        <v>4251</v>
      </c>
      <c r="I11" s="282"/>
      <c r="J11" s="282"/>
      <c r="K11" s="279" t="s">
        <v>225</v>
      </c>
      <c r="L11" s="271"/>
      <c r="M11" s="282"/>
      <c r="N11" s="282"/>
      <c r="O11" s="283"/>
      <c r="P11" s="283"/>
      <c r="Q11" s="283"/>
      <c r="R11" s="283"/>
      <c r="S11" s="283"/>
      <c r="T11" s="283"/>
      <c r="U11" s="283"/>
      <c r="V11" s="283"/>
      <c r="W11" s="283"/>
      <c r="X11" s="283"/>
      <c r="Y11" s="283"/>
      <c r="Z11" s="283"/>
      <c r="AA11" s="284"/>
      <c r="AB11" s="284"/>
    </row>
    <row r="12" ht="63.0" customHeight="true">
      <c r="A12" s="279" t="s">
        <v>4252</v>
      </c>
      <c r="B12" s="281" t="s">
        <v>4253</v>
      </c>
      <c r="C12" s="281" t="s">
        <v>4254</v>
      </c>
      <c r="D12" s="281" t="s">
        <v>4247</v>
      </c>
      <c r="E12" s="281" t="s">
        <v>4255</v>
      </c>
      <c r="F12" s="285" t="s">
        <v>4249</v>
      </c>
      <c r="G12" s="281" t="s">
        <v>4256</v>
      </c>
      <c r="H12" s="279" t="s">
        <v>2959</v>
      </c>
      <c r="I12" s="282"/>
      <c r="J12" s="271"/>
      <c r="K12" s="281" t="s">
        <v>227</v>
      </c>
      <c r="L12" s="271"/>
      <c r="M12" s="286"/>
      <c r="N12" s="283"/>
      <c r="O12" s="283"/>
      <c r="P12" s="283"/>
      <c r="Q12" s="283"/>
      <c r="R12" s="283"/>
      <c r="S12" s="283"/>
      <c r="T12" s="283"/>
      <c r="U12" s="283"/>
      <c r="V12" s="283"/>
      <c r="W12" s="283"/>
      <c r="X12" s="283"/>
      <c r="Y12" s="283"/>
      <c r="Z12" s="283"/>
      <c r="AA12" s="284"/>
      <c r="AB12" s="284"/>
    </row>
    <row r="13" ht="63.0" customHeight="true">
      <c r="A13" s="279" t="s">
        <v>4257</v>
      </c>
      <c r="B13" s="281" t="s">
        <v>4258</v>
      </c>
      <c r="C13" s="281" t="s">
        <v>4259</v>
      </c>
      <c r="D13" s="281" t="s">
        <v>4260</v>
      </c>
      <c r="E13" s="281" t="s">
        <v>4261</v>
      </c>
      <c r="F13" s="285" t="s">
        <v>4262</v>
      </c>
      <c r="G13" s="281" t="s">
        <v>4263</v>
      </c>
      <c r="H13" s="279" t="s">
        <v>2959</v>
      </c>
      <c r="I13" s="282"/>
      <c r="J13" s="271"/>
      <c r="K13" s="281" t="s">
        <v>227</v>
      </c>
      <c r="L13" s="271"/>
      <c r="M13" s="286"/>
      <c r="N13" s="283"/>
      <c r="O13" s="283"/>
      <c r="P13" s="283"/>
      <c r="Q13" s="283"/>
      <c r="R13" s="283"/>
      <c r="S13" s="283"/>
      <c r="T13" s="283"/>
      <c r="U13" s="283"/>
      <c r="V13" s="283"/>
      <c r="W13" s="283"/>
      <c r="X13" s="283"/>
      <c r="Y13" s="283"/>
      <c r="Z13" s="283"/>
      <c r="AA13" s="284"/>
      <c r="AB13" s="284"/>
    </row>
    <row r="14" ht="63.0" customHeight="true">
      <c r="A14" s="279" t="s">
        <v>4264</v>
      </c>
      <c r="B14" s="281" t="s">
        <v>4265</v>
      </c>
      <c r="C14" s="281" t="s">
        <v>4266</v>
      </c>
      <c r="D14" s="281" t="s">
        <v>4267</v>
      </c>
      <c r="E14" s="281" t="s">
        <v>4261</v>
      </c>
      <c r="F14" s="285" t="s">
        <v>4268</v>
      </c>
      <c r="G14" s="281" t="s">
        <v>4269</v>
      </c>
      <c r="H14" s="279" t="s">
        <v>2959</v>
      </c>
      <c r="I14" s="282"/>
      <c r="J14" s="271"/>
      <c r="K14" s="281" t="s">
        <v>227</v>
      </c>
      <c r="L14" s="271"/>
      <c r="M14" s="286"/>
      <c r="N14" s="283"/>
      <c r="O14" s="283"/>
      <c r="P14" s="283"/>
      <c r="Q14" s="283"/>
      <c r="R14" s="283"/>
      <c r="S14" s="283"/>
      <c r="T14" s="283"/>
      <c r="U14" s="283"/>
      <c r="V14" s="283"/>
      <c r="W14" s="283"/>
      <c r="X14" s="283"/>
      <c r="Y14" s="283"/>
      <c r="Z14" s="283"/>
      <c r="AA14" s="284"/>
      <c r="AB14" s="284"/>
    </row>
    <row r="15" ht="60.0" customHeight="true">
      <c r="A15" s="279" t="s">
        <v>4270</v>
      </c>
      <c r="B15" s="279" t="s">
        <v>4271</v>
      </c>
      <c r="C15" s="279" t="s">
        <v>4272</v>
      </c>
      <c r="D15" s="279" t="s">
        <v>4247</v>
      </c>
      <c r="E15" s="279" t="s">
        <v>4273</v>
      </c>
      <c r="F15" s="280" t="s">
        <v>4274</v>
      </c>
      <c r="G15" s="279" t="s">
        <v>4275</v>
      </c>
      <c r="H15" s="279" t="s">
        <v>2959</v>
      </c>
      <c r="I15" s="282"/>
      <c r="J15" s="282"/>
      <c r="K15" s="279" t="s">
        <v>227</v>
      </c>
      <c r="L15" s="282"/>
      <c r="M15" s="282"/>
      <c r="N15" s="282"/>
      <c r="O15" s="271"/>
      <c r="P15" s="271"/>
      <c r="Q15" s="271"/>
      <c r="R15" s="271"/>
      <c r="S15" s="271"/>
      <c r="T15" s="271"/>
      <c r="U15" s="271"/>
      <c r="V15" s="271"/>
      <c r="W15" s="271"/>
      <c r="X15" s="271"/>
      <c r="Y15" s="271"/>
      <c r="Z15" s="271"/>
      <c r="AA15" s="272"/>
      <c r="AB15" s="272"/>
    </row>
    <row r="16" ht="63.0" customHeight="true">
      <c r="A16" s="279" t="s">
        <v>4276</v>
      </c>
      <c r="B16" s="281" t="s">
        <v>4277</v>
      </c>
      <c r="C16" s="281" t="s">
        <v>4278</v>
      </c>
      <c r="D16" s="281" t="s">
        <v>4247</v>
      </c>
      <c r="E16" s="281" t="s">
        <v>4279</v>
      </c>
      <c r="F16" s="285" t="s">
        <v>4280</v>
      </c>
      <c r="G16" s="281" t="s">
        <v>4281</v>
      </c>
      <c r="H16" s="281" t="s">
        <v>2959</v>
      </c>
      <c r="I16" s="282"/>
      <c r="J16" s="271"/>
      <c r="K16" s="281" t="s">
        <v>227</v>
      </c>
      <c r="L16" s="271"/>
      <c r="M16" s="286"/>
      <c r="N16" s="283"/>
      <c r="O16" s="283"/>
      <c r="P16" s="283"/>
      <c r="Q16" s="283"/>
      <c r="R16" s="283"/>
      <c r="S16" s="283"/>
      <c r="T16" s="283"/>
      <c r="U16" s="283"/>
      <c r="V16" s="283"/>
      <c r="W16" s="283"/>
      <c r="X16" s="283"/>
      <c r="Y16" s="283"/>
      <c r="Z16" s="283"/>
      <c r="AA16" s="284"/>
      <c r="AB16" s="284"/>
    </row>
    <row r="17" ht="63.0" customHeight="true">
      <c r="A17" s="279" t="s">
        <v>4282</v>
      </c>
      <c r="B17" s="281" t="s">
        <v>4283</v>
      </c>
      <c r="C17" s="281" t="s">
        <v>4284</v>
      </c>
      <c r="D17" s="281" t="s">
        <v>4247</v>
      </c>
      <c r="E17" s="281" t="s">
        <v>4285</v>
      </c>
      <c r="F17" s="285" t="s">
        <v>4249</v>
      </c>
      <c r="G17" s="281" t="s">
        <v>4286</v>
      </c>
      <c r="H17" s="279" t="s">
        <v>2959</v>
      </c>
      <c r="I17" s="282"/>
      <c r="J17" s="271"/>
      <c r="K17" s="281" t="s">
        <v>225</v>
      </c>
      <c r="L17" s="271"/>
      <c r="M17" s="286"/>
      <c r="N17" s="283"/>
      <c r="O17" s="283"/>
      <c r="P17" s="283"/>
      <c r="Q17" s="283"/>
      <c r="R17" s="283"/>
      <c r="S17" s="283"/>
      <c r="T17" s="283"/>
      <c r="U17" s="283"/>
      <c r="V17" s="283"/>
      <c r="W17" s="283"/>
      <c r="X17" s="283"/>
      <c r="Y17" s="283"/>
      <c r="Z17" s="283"/>
      <c r="AA17" s="284"/>
      <c r="AB17" s="284"/>
    </row>
    <row r="18" ht="63.0" customHeight="true">
      <c r="A18" s="279" t="s">
        <v>4287</v>
      </c>
      <c r="B18" s="281" t="s">
        <v>4288</v>
      </c>
      <c r="C18" s="281" t="s">
        <v>4289</v>
      </c>
      <c r="D18" s="281" t="s">
        <v>4290</v>
      </c>
      <c r="E18" s="281" t="s">
        <v>4291</v>
      </c>
      <c r="F18" s="285" t="s">
        <v>4292</v>
      </c>
      <c r="G18" s="281" t="s">
        <v>4293</v>
      </c>
      <c r="H18" s="279" t="s">
        <v>2959</v>
      </c>
      <c r="I18" s="282"/>
      <c r="J18" s="271"/>
      <c r="K18" s="281" t="s">
        <v>225</v>
      </c>
      <c r="L18" s="271"/>
      <c r="M18" s="286"/>
      <c r="N18" s="283"/>
      <c r="O18" s="283"/>
      <c r="P18" s="283"/>
      <c r="Q18" s="283"/>
      <c r="R18" s="283"/>
      <c r="S18" s="283"/>
      <c r="T18" s="283"/>
      <c r="U18" s="283"/>
      <c r="V18" s="283"/>
      <c r="W18" s="283"/>
      <c r="X18" s="283"/>
      <c r="Y18" s="283"/>
      <c r="Z18" s="283"/>
      <c r="AA18" s="284"/>
      <c r="AB18" s="284"/>
    </row>
    <row r="19" ht="63.0" customHeight="true">
      <c r="A19" s="279" t="s">
        <v>4294</v>
      </c>
      <c r="B19" s="281" t="s">
        <v>4295</v>
      </c>
      <c r="C19" s="281" t="s">
        <v>4296</v>
      </c>
      <c r="D19" s="281" t="s">
        <v>4290</v>
      </c>
      <c r="E19" s="281" t="s">
        <v>4297</v>
      </c>
      <c r="F19" s="285" t="s">
        <v>4292</v>
      </c>
      <c r="G19" s="281" t="s">
        <v>4298</v>
      </c>
      <c r="H19" s="281" t="s">
        <v>2959</v>
      </c>
      <c r="I19" s="282"/>
      <c r="J19" s="271"/>
      <c r="K19" s="281" t="s">
        <v>227</v>
      </c>
      <c r="L19" s="271"/>
      <c r="M19" s="286"/>
      <c r="N19" s="283"/>
      <c r="O19" s="283"/>
      <c r="P19" s="283"/>
      <c r="Q19" s="283"/>
      <c r="R19" s="283"/>
      <c r="S19" s="283"/>
      <c r="T19" s="283"/>
      <c r="U19" s="283"/>
      <c r="V19" s="283"/>
      <c r="W19" s="283"/>
      <c r="X19" s="283"/>
      <c r="Y19" s="283"/>
      <c r="Z19" s="283"/>
      <c r="AA19" s="284"/>
      <c r="AB19" s="284"/>
    </row>
    <row r="20" ht="73.5" customHeight="true">
      <c r="A20" s="279" t="s">
        <v>4299</v>
      </c>
      <c r="B20" s="279" t="s">
        <v>4300</v>
      </c>
      <c r="C20" s="279" t="s">
        <v>4301</v>
      </c>
      <c r="D20" s="279" t="s">
        <v>4302</v>
      </c>
      <c r="E20" s="279" t="s">
        <v>4303</v>
      </c>
      <c r="F20" s="280" t="s">
        <v>4304</v>
      </c>
      <c r="G20" s="281" t="s">
        <v>4305</v>
      </c>
      <c r="H20" s="279" t="s">
        <v>4306</v>
      </c>
      <c r="I20" s="282"/>
      <c r="J20" s="282"/>
      <c r="K20" s="279" t="s">
        <v>225</v>
      </c>
      <c r="L20" s="282"/>
      <c r="M20" s="286"/>
      <c r="N20" s="282"/>
      <c r="O20" s="283"/>
      <c r="P20" s="283"/>
      <c r="Q20" s="283"/>
      <c r="R20" s="283"/>
      <c r="S20" s="283"/>
      <c r="T20" s="283"/>
      <c r="U20" s="283"/>
      <c r="V20" s="283"/>
      <c r="W20" s="283"/>
      <c r="X20" s="283"/>
      <c r="Y20" s="283"/>
      <c r="Z20" s="283"/>
      <c r="AA20" s="284"/>
      <c r="AB20" s="284"/>
    </row>
    <row r="21" ht="63.0" customHeight="true">
      <c r="A21" s="279" t="s">
        <v>4307</v>
      </c>
      <c r="B21" s="281" t="s">
        <v>4308</v>
      </c>
      <c r="C21" s="281" t="s">
        <v>4309</v>
      </c>
      <c r="D21" s="281" t="s">
        <v>4247</v>
      </c>
      <c r="E21" s="281" t="s">
        <v>4310</v>
      </c>
      <c r="F21" s="285" t="s">
        <v>4311</v>
      </c>
      <c r="G21" s="281" t="s">
        <v>4312</v>
      </c>
      <c r="H21" s="281" t="s">
        <v>4313</v>
      </c>
      <c r="I21" s="282"/>
      <c r="J21" s="271"/>
      <c r="K21" s="281" t="s">
        <v>229</v>
      </c>
      <c r="L21" s="271"/>
      <c r="M21" s="286"/>
      <c r="N21" s="283"/>
      <c r="O21" s="283"/>
      <c r="P21" s="283"/>
      <c r="Q21" s="283"/>
      <c r="R21" s="283"/>
      <c r="S21" s="283"/>
      <c r="T21" s="283"/>
      <c r="U21" s="283"/>
      <c r="V21" s="283"/>
      <c r="W21" s="283"/>
      <c r="X21" s="283"/>
      <c r="Y21" s="283"/>
      <c r="Z21" s="283"/>
      <c r="AA21" s="284"/>
      <c r="AB21" s="284"/>
    </row>
    <row r="22" ht="39.0" customHeight="true">
      <c r="A22" s="273" t="s">
        <v>4314</v>
      </c>
      <c r="B22" s="274"/>
      <c r="C22" s="274"/>
      <c r="D22" s="274"/>
      <c r="E22" s="274"/>
      <c r="F22" s="287"/>
      <c r="G22" s="274"/>
      <c r="H22" s="274"/>
      <c r="I22" s="274"/>
      <c r="J22" s="274"/>
      <c r="K22" s="275"/>
      <c r="L22" s="276"/>
      <c r="M22" s="276"/>
      <c r="N22" s="276"/>
      <c r="O22" s="277"/>
      <c r="P22" s="277"/>
      <c r="Q22" s="277"/>
      <c r="R22" s="277"/>
      <c r="S22" s="277"/>
      <c r="T22" s="277"/>
      <c r="U22" s="277"/>
      <c r="V22" s="277"/>
      <c r="W22" s="277"/>
      <c r="X22" s="277"/>
      <c r="Y22" s="277"/>
      <c r="Z22" s="277"/>
      <c r="AA22" s="278"/>
      <c r="AB22" s="278"/>
    </row>
    <row r="23" ht="63.0" customHeight="true">
      <c r="A23" s="279" t="s">
        <v>4315</v>
      </c>
      <c r="B23" s="281" t="s">
        <v>4316</v>
      </c>
      <c r="C23" s="281" t="s">
        <v>4317</v>
      </c>
      <c r="D23" s="281" t="s">
        <v>4318</v>
      </c>
      <c r="E23" s="281" t="s">
        <v>4319</v>
      </c>
      <c r="F23" s="285" t="s">
        <v>4320</v>
      </c>
      <c r="G23" s="281" t="s">
        <v>4321</v>
      </c>
      <c r="H23" s="281" t="s">
        <v>2959</v>
      </c>
      <c r="I23" s="282"/>
      <c r="J23" s="271"/>
      <c r="K23" s="281" t="s">
        <v>225</v>
      </c>
      <c r="L23" s="271"/>
      <c r="M23" s="286"/>
      <c r="N23" s="283"/>
      <c r="O23" s="283"/>
      <c r="P23" s="283"/>
      <c r="Q23" s="283"/>
      <c r="R23" s="283"/>
      <c r="S23" s="283"/>
      <c r="T23" s="283"/>
      <c r="U23" s="283"/>
      <c r="V23" s="283"/>
      <c r="W23" s="283"/>
      <c r="X23" s="283"/>
      <c r="Y23" s="283"/>
      <c r="Z23" s="283"/>
      <c r="AA23" s="284"/>
      <c r="AB23" s="284"/>
    </row>
    <row r="24" ht="63.0" customHeight="true">
      <c r="A24" s="279" t="s">
        <v>4322</v>
      </c>
      <c r="B24" s="281" t="s">
        <v>4323</v>
      </c>
      <c r="C24" s="281" t="s">
        <v>4324</v>
      </c>
      <c r="D24" s="281" t="s">
        <v>4247</v>
      </c>
      <c r="E24" s="281" t="s">
        <v>4325</v>
      </c>
      <c r="F24" s="288" t="s">
        <v>4326</v>
      </c>
      <c r="G24" s="289" t="s">
        <v>4327</v>
      </c>
      <c r="H24" s="281" t="s">
        <v>2959</v>
      </c>
      <c r="I24" s="282"/>
      <c r="J24" s="271"/>
      <c r="K24" s="281" t="s">
        <v>225</v>
      </c>
      <c r="L24" s="271"/>
      <c r="M24" s="286"/>
      <c r="N24" s="283"/>
      <c r="O24" s="283"/>
      <c r="P24" s="283"/>
      <c r="Q24" s="283"/>
      <c r="R24" s="283"/>
      <c r="S24" s="283"/>
      <c r="T24" s="283"/>
      <c r="U24" s="283"/>
      <c r="V24" s="283"/>
      <c r="W24" s="283"/>
      <c r="X24" s="283"/>
      <c r="Y24" s="283"/>
      <c r="Z24" s="283"/>
      <c r="AA24" s="284"/>
      <c r="AB24" s="284"/>
    </row>
    <row r="25" ht="63.0" customHeight="true">
      <c r="A25" s="279" t="s">
        <v>4328</v>
      </c>
      <c r="B25" s="281" t="s">
        <v>4329</v>
      </c>
      <c r="C25" s="281" t="s">
        <v>4330</v>
      </c>
      <c r="D25" s="281" t="s">
        <v>4331</v>
      </c>
      <c r="E25" s="281" t="s">
        <v>4332</v>
      </c>
      <c r="F25" s="285" t="s">
        <v>4249</v>
      </c>
      <c r="G25" s="281" t="s">
        <v>4333</v>
      </c>
      <c r="H25" s="281" t="s">
        <v>2959</v>
      </c>
      <c r="I25" s="282"/>
      <c r="J25" s="271"/>
      <c r="K25" s="281" t="s">
        <v>227</v>
      </c>
      <c r="L25" s="271"/>
      <c r="M25" s="286"/>
      <c r="N25" s="283"/>
      <c r="O25" s="283"/>
      <c r="P25" s="283"/>
      <c r="Q25" s="283"/>
      <c r="R25" s="283"/>
      <c r="S25" s="283"/>
      <c r="T25" s="283"/>
      <c r="U25" s="283"/>
      <c r="V25" s="283"/>
      <c r="W25" s="283"/>
      <c r="X25" s="283"/>
      <c r="Y25" s="283"/>
      <c r="Z25" s="283"/>
      <c r="AA25" s="284"/>
      <c r="AB25" s="284"/>
    </row>
    <row r="26" ht="63.0" customHeight="true">
      <c r="A26" s="279" t="s">
        <v>4334</v>
      </c>
      <c r="B26" s="281" t="s">
        <v>4335</v>
      </c>
      <c r="C26" s="281" t="s">
        <v>4336</v>
      </c>
      <c r="D26" s="281" t="s">
        <v>4337</v>
      </c>
      <c r="E26" s="281" t="s">
        <v>4338</v>
      </c>
      <c r="F26" s="285" t="s">
        <v>4339</v>
      </c>
      <c r="G26" s="289" t="s">
        <v>4340</v>
      </c>
      <c r="H26" s="281" t="s">
        <v>2959</v>
      </c>
      <c r="I26" s="282"/>
      <c r="J26" s="271"/>
      <c r="K26" s="281" t="s">
        <v>225</v>
      </c>
      <c r="L26" s="271"/>
      <c r="M26" s="286"/>
      <c r="N26" s="283"/>
      <c r="O26" s="283"/>
      <c r="P26" s="283"/>
      <c r="Q26" s="283"/>
      <c r="R26" s="283"/>
      <c r="S26" s="283"/>
      <c r="T26" s="283"/>
      <c r="U26" s="283"/>
      <c r="V26" s="283"/>
      <c r="W26" s="283"/>
      <c r="X26" s="283"/>
      <c r="Y26" s="283"/>
      <c r="Z26" s="283"/>
      <c r="AA26" s="284"/>
      <c r="AB26" s="284"/>
    </row>
    <row r="27" ht="37.5" customHeight="true">
      <c r="A27" s="273" t="s">
        <v>4341</v>
      </c>
      <c r="B27" s="274"/>
      <c r="C27" s="274"/>
      <c r="D27" s="274"/>
      <c r="E27" s="274"/>
      <c r="F27" s="287"/>
      <c r="G27" s="274"/>
      <c r="H27" s="274"/>
      <c r="I27" s="274"/>
      <c r="J27" s="274"/>
      <c r="K27" s="275"/>
      <c r="L27" s="276"/>
      <c r="M27" s="276"/>
      <c r="N27" s="276"/>
      <c r="O27" s="277"/>
      <c r="P27" s="277"/>
      <c r="Q27" s="277"/>
      <c r="R27" s="277"/>
      <c r="S27" s="277"/>
      <c r="T27" s="277"/>
      <c r="U27" s="277"/>
      <c r="V27" s="277"/>
      <c r="W27" s="277"/>
      <c r="X27" s="277"/>
      <c r="Y27" s="277"/>
      <c r="Z27" s="277"/>
      <c r="AA27" s="278"/>
      <c r="AB27" s="278"/>
    </row>
    <row r="28" ht="63.0" customHeight="true">
      <c r="A28" s="279" t="s">
        <v>4342</v>
      </c>
      <c r="B28" s="281" t="s">
        <v>4343</v>
      </c>
      <c r="C28" s="281" t="s">
        <v>4344</v>
      </c>
      <c r="D28" s="281" t="s">
        <v>4247</v>
      </c>
      <c r="E28" s="281" t="s">
        <v>4345</v>
      </c>
      <c r="F28" s="285" t="s">
        <v>4249</v>
      </c>
      <c r="G28" s="289" t="s">
        <v>4346</v>
      </c>
      <c r="H28" s="281" t="s">
        <v>4347</v>
      </c>
      <c r="I28" s="282"/>
      <c r="J28" s="271"/>
      <c r="K28" s="281" t="s">
        <v>225</v>
      </c>
      <c r="L28" s="271"/>
      <c r="M28" s="286"/>
      <c r="N28" s="283"/>
      <c r="O28" s="283"/>
      <c r="P28" s="283"/>
      <c r="Q28" s="283"/>
      <c r="R28" s="283"/>
      <c r="S28" s="283"/>
      <c r="T28" s="283"/>
      <c r="U28" s="283"/>
      <c r="V28" s="283"/>
      <c r="W28" s="283"/>
      <c r="X28" s="283"/>
      <c r="Y28" s="283"/>
      <c r="Z28" s="283"/>
      <c r="AA28" s="284"/>
      <c r="AB28" s="284"/>
    </row>
    <row r="29" ht="63.0" customHeight="true">
      <c r="A29" s="279" t="s">
        <v>4348</v>
      </c>
      <c r="B29" s="281" t="s">
        <v>4349</v>
      </c>
      <c r="C29" s="281" t="s">
        <v>4350</v>
      </c>
      <c r="D29" s="281" t="s">
        <v>4247</v>
      </c>
      <c r="E29" s="281" t="s">
        <v>4351</v>
      </c>
      <c r="F29" s="285" t="s">
        <v>4249</v>
      </c>
      <c r="G29" s="281" t="s">
        <v>4352</v>
      </c>
      <c r="H29" s="281" t="s">
        <v>4347</v>
      </c>
      <c r="I29" s="282"/>
      <c r="J29" s="271"/>
      <c r="K29" s="281" t="s">
        <v>225</v>
      </c>
      <c r="L29" s="271"/>
      <c r="M29" s="286"/>
      <c r="N29" s="283"/>
      <c r="O29" s="283"/>
      <c r="P29" s="283"/>
      <c r="Q29" s="283"/>
      <c r="R29" s="283"/>
      <c r="S29" s="283"/>
      <c r="T29" s="283"/>
      <c r="U29" s="283"/>
      <c r="V29" s="283"/>
      <c r="W29" s="283"/>
      <c r="X29" s="283"/>
      <c r="Y29" s="283"/>
      <c r="Z29" s="283"/>
      <c r="AA29" s="284"/>
      <c r="AB29" s="284"/>
    </row>
    <row r="30" ht="63.0" customHeight="true">
      <c r="A30" s="279" t="s">
        <v>4353</v>
      </c>
      <c r="B30" s="281" t="s">
        <v>4354</v>
      </c>
      <c r="C30" s="281" t="s">
        <v>4355</v>
      </c>
      <c r="D30" s="281" t="s">
        <v>4247</v>
      </c>
      <c r="E30" s="281" t="s">
        <v>4356</v>
      </c>
      <c r="F30" s="285" t="s">
        <v>4249</v>
      </c>
      <c r="G30" s="281" t="s">
        <v>4352</v>
      </c>
      <c r="H30" s="281" t="s">
        <v>4347</v>
      </c>
      <c r="I30" s="282"/>
      <c r="J30" s="271"/>
      <c r="K30" s="281" t="s">
        <v>227</v>
      </c>
      <c r="L30" s="271"/>
      <c r="M30" s="286"/>
      <c r="N30" s="283"/>
      <c r="O30" s="283"/>
      <c r="P30" s="283"/>
      <c r="Q30" s="283"/>
      <c r="R30" s="283"/>
      <c r="S30" s="283"/>
      <c r="T30" s="283"/>
      <c r="U30" s="283"/>
      <c r="V30" s="283"/>
      <c r="W30" s="283"/>
      <c r="X30" s="283"/>
      <c r="Y30" s="283"/>
      <c r="Z30" s="283"/>
      <c r="AA30" s="284"/>
      <c r="AB30" s="284"/>
    </row>
    <row r="31" ht="77.25" customHeight="true">
      <c r="A31" s="279" t="s">
        <v>4357</v>
      </c>
      <c r="B31" s="281" t="s">
        <v>4358</v>
      </c>
      <c r="C31" s="281" t="s">
        <v>4359</v>
      </c>
      <c r="D31" s="281" t="s">
        <v>4247</v>
      </c>
      <c r="E31" s="281" t="s">
        <v>4360</v>
      </c>
      <c r="F31" s="285" t="s">
        <v>4274</v>
      </c>
      <c r="G31" s="289" t="s">
        <v>4361</v>
      </c>
      <c r="H31" s="281" t="s">
        <v>4347</v>
      </c>
      <c r="I31" s="282"/>
      <c r="J31" s="271"/>
      <c r="K31" s="281" t="s">
        <v>227</v>
      </c>
      <c r="L31" s="271"/>
      <c r="M31" s="286"/>
      <c r="N31" s="283"/>
      <c r="O31" s="283"/>
      <c r="P31" s="283"/>
      <c r="Q31" s="283"/>
      <c r="R31" s="283"/>
      <c r="S31" s="283"/>
      <c r="T31" s="283"/>
      <c r="U31" s="283"/>
      <c r="V31" s="283"/>
      <c r="W31" s="283"/>
      <c r="X31" s="283"/>
      <c r="Y31" s="283"/>
      <c r="Z31" s="283"/>
      <c r="AA31" s="284"/>
      <c r="AB31" s="284"/>
    </row>
    <row r="32" ht="63.0" customHeight="true">
      <c r="A32" s="279" t="s">
        <v>4362</v>
      </c>
      <c r="B32" s="281" t="s">
        <v>4363</v>
      </c>
      <c r="C32" s="281" t="s">
        <v>4364</v>
      </c>
      <c r="D32" s="281" t="s">
        <v>4365</v>
      </c>
      <c r="E32" s="281" t="s">
        <v>4366</v>
      </c>
      <c r="F32" s="285" t="s">
        <v>4367</v>
      </c>
      <c r="G32" s="281" t="s">
        <v>4368</v>
      </c>
      <c r="H32" s="281" t="s">
        <v>4347</v>
      </c>
      <c r="I32" s="282"/>
      <c r="J32" s="271"/>
      <c r="K32" s="281" t="s">
        <v>227</v>
      </c>
      <c r="L32" s="271"/>
      <c r="M32" s="286"/>
      <c r="N32" s="283"/>
      <c r="O32" s="283"/>
      <c r="P32" s="283"/>
      <c r="Q32" s="283"/>
      <c r="R32" s="283"/>
      <c r="S32" s="283"/>
      <c r="T32" s="283"/>
      <c r="U32" s="283"/>
      <c r="V32" s="283"/>
      <c r="W32" s="283"/>
      <c r="X32" s="283"/>
      <c r="Y32" s="283"/>
      <c r="Z32" s="283"/>
      <c r="AA32" s="284"/>
      <c r="AB32" s="284"/>
    </row>
    <row r="33" ht="63.0" customHeight="true">
      <c r="A33" s="281" t="s">
        <v>4369</v>
      </c>
      <c r="B33" s="281" t="s">
        <v>4370</v>
      </c>
      <c r="C33" s="281" t="s">
        <v>4371</v>
      </c>
      <c r="D33" s="281" t="s">
        <v>4247</v>
      </c>
      <c r="E33" s="281" t="s">
        <v>4372</v>
      </c>
      <c r="F33" s="285" t="s">
        <v>2959</v>
      </c>
      <c r="G33" s="289" t="s">
        <v>4373</v>
      </c>
      <c r="H33" s="281" t="s">
        <v>2959</v>
      </c>
      <c r="I33" s="282"/>
      <c r="J33" s="271"/>
      <c r="K33" s="279" t="s">
        <v>225</v>
      </c>
      <c r="L33" s="271"/>
      <c r="M33" s="286"/>
      <c r="N33" s="283"/>
      <c r="O33" s="283"/>
      <c r="P33" s="283"/>
      <c r="Q33" s="283"/>
      <c r="R33" s="283"/>
      <c r="S33" s="283"/>
      <c r="T33" s="283"/>
      <c r="U33" s="283"/>
      <c r="V33" s="283"/>
      <c r="W33" s="283"/>
      <c r="X33" s="283"/>
      <c r="Y33" s="283"/>
      <c r="Z33" s="283"/>
      <c r="AA33" s="284"/>
      <c r="AB33" s="284"/>
    </row>
    <row r="34" ht="63.0" customHeight="true">
      <c r="A34" s="279" t="s">
        <v>4374</v>
      </c>
      <c r="B34" s="281" t="s">
        <v>4375</v>
      </c>
      <c r="C34" s="281" t="s">
        <v>4376</v>
      </c>
      <c r="D34" s="281" t="s">
        <v>4247</v>
      </c>
      <c r="E34" s="281" t="s">
        <v>4377</v>
      </c>
      <c r="F34" s="285" t="s">
        <v>2959</v>
      </c>
      <c r="G34" s="289" t="s">
        <v>4378</v>
      </c>
      <c r="H34" s="281" t="s">
        <v>2959</v>
      </c>
      <c r="I34" s="282"/>
      <c r="J34" s="271"/>
      <c r="K34" s="281" t="s">
        <v>225</v>
      </c>
      <c r="L34" s="271"/>
      <c r="M34" s="286"/>
      <c r="N34" s="283"/>
      <c r="O34" s="283"/>
      <c r="P34" s="283"/>
      <c r="Q34" s="283"/>
      <c r="R34" s="283"/>
      <c r="S34" s="283"/>
      <c r="T34" s="283"/>
      <c r="U34" s="283"/>
      <c r="V34" s="283"/>
      <c r="W34" s="283"/>
      <c r="X34" s="283"/>
      <c r="Y34" s="283"/>
      <c r="Z34" s="283"/>
      <c r="AA34" s="284"/>
      <c r="AB34" s="284"/>
    </row>
    <row r="35" ht="63.0" customHeight="true">
      <c r="A35" s="279" t="s">
        <v>4379</v>
      </c>
      <c r="B35" s="281" t="s">
        <v>4380</v>
      </c>
      <c r="C35" s="281" t="s">
        <v>4381</v>
      </c>
      <c r="D35" s="281" t="s">
        <v>4247</v>
      </c>
      <c r="E35" s="281" t="s">
        <v>4382</v>
      </c>
      <c r="F35" s="285" t="s">
        <v>2959</v>
      </c>
      <c r="G35" s="281" t="s">
        <v>4383</v>
      </c>
      <c r="H35" s="281" t="s">
        <v>2959</v>
      </c>
      <c r="I35" s="282"/>
      <c r="J35" s="271"/>
      <c r="K35" s="281" t="s">
        <v>227</v>
      </c>
      <c r="L35" s="271"/>
      <c r="M35" s="286"/>
      <c r="N35" s="283"/>
      <c r="O35" s="283"/>
      <c r="P35" s="283"/>
      <c r="Q35" s="283"/>
      <c r="R35" s="283"/>
      <c r="S35" s="283"/>
      <c r="T35" s="283"/>
      <c r="U35" s="283"/>
      <c r="V35" s="283"/>
      <c r="W35" s="283"/>
      <c r="X35" s="283"/>
      <c r="Y35" s="283"/>
      <c r="Z35" s="283"/>
      <c r="AA35" s="284"/>
      <c r="AB35" s="284"/>
    </row>
    <row r="36" ht="63.0" customHeight="true">
      <c r="A36" s="279" t="s">
        <v>4384</v>
      </c>
      <c r="B36" s="281" t="s">
        <v>4385</v>
      </c>
      <c r="C36" s="281" t="s">
        <v>4386</v>
      </c>
      <c r="D36" s="281" t="s">
        <v>4247</v>
      </c>
      <c r="E36" s="281" t="s">
        <v>4387</v>
      </c>
      <c r="F36" s="285" t="s">
        <v>2959</v>
      </c>
      <c r="G36" s="281" t="s">
        <v>4383</v>
      </c>
      <c r="H36" s="281" t="s">
        <v>2959</v>
      </c>
      <c r="I36" s="281"/>
      <c r="J36" s="281"/>
      <c r="K36" s="281" t="s">
        <v>227</v>
      </c>
      <c r="L36" s="281"/>
      <c r="M36" s="290"/>
      <c r="N36" s="291"/>
      <c r="O36" s="291"/>
      <c r="P36" s="291"/>
      <c r="Q36" s="292"/>
      <c r="R36" s="292"/>
      <c r="S36" s="292"/>
      <c r="T36" s="292"/>
      <c r="U36" s="292"/>
      <c r="V36" s="292"/>
      <c r="W36" s="292"/>
      <c r="X36" s="292"/>
      <c r="Y36" s="292"/>
      <c r="Z36" s="292"/>
      <c r="AA36" s="292"/>
      <c r="AB36" s="292"/>
    </row>
    <row r="37" ht="63.0" customHeight="true">
      <c r="A37" s="279" t="s">
        <v>4388</v>
      </c>
      <c r="B37" s="281" t="s">
        <v>4389</v>
      </c>
      <c r="C37" s="281" t="s">
        <v>4390</v>
      </c>
      <c r="D37" s="281" t="s">
        <v>4247</v>
      </c>
      <c r="E37" s="281" t="s">
        <v>4391</v>
      </c>
      <c r="F37" s="285" t="s">
        <v>2959</v>
      </c>
      <c r="G37" s="289" t="s">
        <v>4392</v>
      </c>
      <c r="H37" s="281" t="s">
        <v>4347</v>
      </c>
      <c r="I37" s="282"/>
      <c r="J37" s="271"/>
      <c r="K37" s="281" t="s">
        <v>229</v>
      </c>
      <c r="L37" s="271"/>
      <c r="M37" s="286"/>
      <c r="N37" s="283"/>
      <c r="O37" s="283"/>
      <c r="P37" s="283"/>
      <c r="Q37" s="283"/>
      <c r="R37" s="283"/>
      <c r="S37" s="283"/>
      <c r="T37" s="283"/>
      <c r="U37" s="283"/>
      <c r="V37" s="283"/>
      <c r="W37" s="283"/>
      <c r="X37" s="283"/>
      <c r="Y37" s="283"/>
      <c r="Z37" s="283"/>
      <c r="AA37" s="284"/>
      <c r="AB37" s="284"/>
    </row>
    <row r="38" ht="63.0" customHeight="true">
      <c r="A38" s="279" t="s">
        <v>4393</v>
      </c>
      <c r="B38" s="281" t="s">
        <v>4394</v>
      </c>
      <c r="C38" s="281" t="s">
        <v>4395</v>
      </c>
      <c r="D38" s="281" t="s">
        <v>4247</v>
      </c>
      <c r="E38" s="281" t="s">
        <v>4396</v>
      </c>
      <c r="F38" s="285" t="s">
        <v>2959</v>
      </c>
      <c r="G38" s="289" t="s">
        <v>4397</v>
      </c>
      <c r="H38" s="281" t="s">
        <v>2959</v>
      </c>
      <c r="I38" s="282"/>
      <c r="J38" s="271"/>
      <c r="K38" s="281" t="s">
        <v>229</v>
      </c>
      <c r="L38" s="271"/>
      <c r="M38" s="286"/>
      <c r="N38" s="283"/>
      <c r="O38" s="283"/>
      <c r="P38" s="283"/>
      <c r="Q38" s="283"/>
      <c r="R38" s="283"/>
      <c r="S38" s="283"/>
      <c r="T38" s="283"/>
      <c r="U38" s="283"/>
      <c r="V38" s="283"/>
      <c r="W38" s="283"/>
      <c r="X38" s="283"/>
      <c r="Y38" s="283"/>
      <c r="Z38" s="283"/>
      <c r="AA38" s="284"/>
      <c r="AB38" s="284"/>
    </row>
    <row r="39" ht="30.75" customHeight="true">
      <c r="A39" s="273" t="s">
        <v>4398</v>
      </c>
      <c r="B39" s="274"/>
      <c r="C39" s="274"/>
      <c r="D39" s="274"/>
      <c r="E39" s="274"/>
      <c r="F39" s="287"/>
      <c r="G39" s="274"/>
      <c r="H39" s="274"/>
      <c r="I39" s="274"/>
      <c r="J39" s="274"/>
      <c r="K39" s="275"/>
      <c r="L39" s="276"/>
      <c r="M39" s="276"/>
      <c r="N39" s="276"/>
      <c r="O39" s="277"/>
      <c r="P39" s="277"/>
      <c r="Q39" s="277"/>
      <c r="R39" s="277"/>
      <c r="S39" s="277"/>
      <c r="T39" s="277"/>
      <c r="U39" s="277"/>
      <c r="V39" s="277"/>
      <c r="W39" s="277"/>
      <c r="X39" s="277"/>
      <c r="Y39" s="277"/>
      <c r="Z39" s="277"/>
      <c r="AA39" s="278"/>
      <c r="AB39" s="278"/>
    </row>
    <row r="40" ht="63.0" customHeight="true">
      <c r="A40" s="279" t="s">
        <v>4399</v>
      </c>
      <c r="B40" s="281" t="s">
        <v>4400</v>
      </c>
      <c r="C40" s="281" t="s">
        <v>4401</v>
      </c>
      <c r="D40" s="281" t="s">
        <v>4247</v>
      </c>
      <c r="E40" s="281" t="s">
        <v>4402</v>
      </c>
      <c r="F40" s="285" t="s">
        <v>4249</v>
      </c>
      <c r="G40" s="281" t="s">
        <v>4403</v>
      </c>
      <c r="H40" s="281" t="s">
        <v>2959</v>
      </c>
      <c r="I40" s="282"/>
      <c r="J40" s="271"/>
      <c r="K40" s="281" t="s">
        <v>225</v>
      </c>
      <c r="L40" s="271"/>
      <c r="M40" s="286"/>
      <c r="N40" s="283"/>
      <c r="O40" s="283"/>
      <c r="P40" s="283"/>
      <c r="Q40" s="283"/>
      <c r="R40" s="283"/>
      <c r="S40" s="283"/>
      <c r="T40" s="283"/>
      <c r="U40" s="283"/>
      <c r="V40" s="283"/>
      <c r="W40" s="283"/>
      <c r="X40" s="283"/>
      <c r="Y40" s="283"/>
      <c r="Z40" s="283"/>
      <c r="AA40" s="284"/>
      <c r="AB40" s="284"/>
    </row>
    <row r="41" ht="63.0" customHeight="true">
      <c r="A41" s="279" t="s">
        <v>4404</v>
      </c>
      <c r="B41" s="281" t="s">
        <v>4405</v>
      </c>
      <c r="C41" s="281" t="s">
        <v>4406</v>
      </c>
      <c r="D41" s="281" t="s">
        <v>4407</v>
      </c>
      <c r="E41" s="281" t="s">
        <v>4408</v>
      </c>
      <c r="F41" s="285" t="s">
        <v>4409</v>
      </c>
      <c r="G41" s="289" t="s">
        <v>4410</v>
      </c>
      <c r="H41" s="281" t="s">
        <v>4411</v>
      </c>
      <c r="I41" s="282"/>
      <c r="J41" s="271"/>
      <c r="K41" s="281" t="s">
        <v>225</v>
      </c>
      <c r="L41" s="271"/>
      <c r="M41" s="286"/>
      <c r="N41" s="283"/>
      <c r="O41" s="283"/>
      <c r="P41" s="283"/>
      <c r="Q41" s="283"/>
      <c r="R41" s="283"/>
      <c r="S41" s="283"/>
      <c r="T41" s="283"/>
      <c r="U41" s="283"/>
      <c r="V41" s="283"/>
      <c r="W41" s="283"/>
      <c r="X41" s="283"/>
      <c r="Y41" s="283"/>
      <c r="Z41" s="283"/>
      <c r="AA41" s="284"/>
      <c r="AB41" s="284"/>
    </row>
    <row r="42" ht="63.0" customHeight="true">
      <c r="A42" s="279" t="s">
        <v>4412</v>
      </c>
      <c r="B42" s="281" t="s">
        <v>4413</v>
      </c>
      <c r="C42" s="281" t="s">
        <v>4414</v>
      </c>
      <c r="D42" s="281" t="s">
        <v>4247</v>
      </c>
      <c r="E42" s="281" t="s">
        <v>4415</v>
      </c>
      <c r="F42" s="285" t="s">
        <v>4416</v>
      </c>
      <c r="G42" s="281" t="s">
        <v>4417</v>
      </c>
      <c r="H42" s="281" t="s">
        <v>4418</v>
      </c>
      <c r="I42" s="282"/>
      <c r="J42" s="271"/>
      <c r="K42" s="281" t="s">
        <v>225</v>
      </c>
      <c r="L42" s="271"/>
      <c r="M42" s="286"/>
      <c r="N42" s="283"/>
      <c r="O42" s="283"/>
      <c r="P42" s="283"/>
      <c r="Q42" s="283"/>
      <c r="R42" s="283"/>
      <c r="S42" s="283"/>
      <c r="T42" s="283"/>
      <c r="U42" s="283"/>
      <c r="V42" s="283"/>
      <c r="W42" s="283"/>
      <c r="X42" s="283"/>
      <c r="Y42" s="283"/>
      <c r="Z42" s="283"/>
      <c r="AA42" s="284"/>
      <c r="AB42" s="284"/>
    </row>
    <row r="43" ht="42.0" customHeight="true">
      <c r="A43" s="279" t="s">
        <v>4419</v>
      </c>
      <c r="B43" s="279" t="s">
        <v>4420</v>
      </c>
      <c r="C43" s="279" t="s">
        <v>4421</v>
      </c>
      <c r="D43" s="279" t="s">
        <v>4247</v>
      </c>
      <c r="E43" s="279" t="s">
        <v>4422</v>
      </c>
      <c r="F43" s="280" t="s">
        <v>4249</v>
      </c>
      <c r="G43" s="279" t="s">
        <v>4423</v>
      </c>
      <c r="H43" s="279" t="s">
        <v>2959</v>
      </c>
      <c r="I43" s="282"/>
      <c r="J43" s="282"/>
      <c r="K43" s="279" t="s">
        <v>227</v>
      </c>
      <c r="L43" s="282"/>
      <c r="M43" s="282"/>
      <c r="N43" s="282"/>
      <c r="O43" s="271"/>
      <c r="P43" s="271"/>
      <c r="Q43" s="271"/>
      <c r="R43" s="271"/>
      <c r="S43" s="271"/>
      <c r="T43" s="271"/>
      <c r="U43" s="271"/>
      <c r="V43" s="271"/>
      <c r="W43" s="271"/>
      <c r="X43" s="271"/>
      <c r="Y43" s="271"/>
      <c r="Z43" s="271"/>
      <c r="AA43" s="272"/>
      <c r="AB43" s="272"/>
    </row>
    <row r="44" ht="63.0" customHeight="true">
      <c r="A44" s="279" t="s">
        <v>4424</v>
      </c>
      <c r="B44" s="281" t="s">
        <v>4425</v>
      </c>
      <c r="C44" s="281" t="s">
        <v>4426</v>
      </c>
      <c r="D44" s="281" t="s">
        <v>4427</v>
      </c>
      <c r="E44" s="281" t="s">
        <v>4428</v>
      </c>
      <c r="F44" s="285" t="s">
        <v>4429</v>
      </c>
      <c r="G44" s="289" t="s">
        <v>4430</v>
      </c>
      <c r="H44" s="281" t="s">
        <v>2959</v>
      </c>
      <c r="I44" s="282"/>
      <c r="J44" s="271"/>
      <c r="K44" s="281" t="s">
        <v>227</v>
      </c>
      <c r="L44" s="271"/>
      <c r="M44" s="286"/>
      <c r="N44" s="283"/>
      <c r="O44" s="283"/>
      <c r="P44" s="283"/>
      <c r="Q44" s="283"/>
      <c r="R44" s="283"/>
      <c r="S44" s="283"/>
      <c r="T44" s="283"/>
      <c r="U44" s="283"/>
      <c r="V44" s="283"/>
      <c r="W44" s="283"/>
      <c r="X44" s="283"/>
      <c r="Y44" s="283"/>
      <c r="Z44" s="283"/>
      <c r="AA44" s="284"/>
      <c r="AB44" s="284"/>
    </row>
    <row r="45" ht="63.0" customHeight="true">
      <c r="A45" s="279" t="s">
        <v>4431</v>
      </c>
      <c r="B45" s="281" t="s">
        <v>4432</v>
      </c>
      <c r="C45" s="281" t="s">
        <v>4433</v>
      </c>
      <c r="D45" s="281" t="s">
        <v>4247</v>
      </c>
      <c r="E45" s="281" t="s">
        <v>4434</v>
      </c>
      <c r="F45" s="285" t="s">
        <v>4435</v>
      </c>
      <c r="G45" s="281" t="s">
        <v>4436</v>
      </c>
      <c r="H45" s="281" t="s">
        <v>4437</v>
      </c>
      <c r="I45" s="282"/>
      <c r="J45" s="271"/>
      <c r="K45" s="281" t="s">
        <v>229</v>
      </c>
      <c r="L45" s="271"/>
      <c r="M45" s="286"/>
      <c r="N45" s="283"/>
      <c r="O45" s="283"/>
      <c r="P45" s="283"/>
      <c r="Q45" s="283"/>
      <c r="R45" s="283"/>
      <c r="S45" s="283"/>
      <c r="T45" s="283"/>
      <c r="U45" s="283"/>
      <c r="V45" s="283"/>
      <c r="W45" s="283"/>
      <c r="X45" s="283"/>
      <c r="Y45" s="283"/>
      <c r="Z45" s="283"/>
      <c r="AA45" s="284"/>
      <c r="AB45" s="284"/>
    </row>
    <row r="46" ht="33.0" customHeight="true">
      <c r="A46" s="273" t="s">
        <v>4438</v>
      </c>
      <c r="B46" s="274"/>
      <c r="C46" s="274"/>
      <c r="D46" s="274"/>
      <c r="E46" s="274"/>
      <c r="F46" s="287"/>
      <c r="G46" s="274"/>
      <c r="H46" s="274"/>
      <c r="I46" s="274"/>
      <c r="J46" s="274"/>
      <c r="K46" s="275"/>
      <c r="L46" s="276"/>
      <c r="M46" s="276"/>
      <c r="N46" s="276"/>
      <c r="O46" s="277"/>
      <c r="P46" s="277"/>
      <c r="Q46" s="277"/>
      <c r="R46" s="277"/>
      <c r="S46" s="277"/>
      <c r="T46" s="277"/>
      <c r="U46" s="277"/>
      <c r="V46" s="277"/>
      <c r="W46" s="277"/>
      <c r="X46" s="277"/>
      <c r="Y46" s="277"/>
      <c r="Z46" s="277"/>
      <c r="AA46" s="278"/>
      <c r="AB46" s="278"/>
    </row>
    <row r="47" ht="63.0" customHeight="true">
      <c r="A47" s="279" t="s">
        <v>4439</v>
      </c>
      <c r="B47" s="279" t="s">
        <v>4440</v>
      </c>
      <c r="C47" s="279" t="s">
        <v>4441</v>
      </c>
      <c r="D47" s="279" t="s">
        <v>4442</v>
      </c>
      <c r="E47" s="279" t="s">
        <v>4443</v>
      </c>
      <c r="F47" s="280" t="s">
        <v>2959</v>
      </c>
      <c r="G47" s="281" t="s">
        <v>4444</v>
      </c>
      <c r="H47" s="279" t="s">
        <v>2959</v>
      </c>
      <c r="I47" s="282"/>
      <c r="J47" s="282"/>
      <c r="K47" s="279" t="s">
        <v>225</v>
      </c>
      <c r="L47" s="282"/>
      <c r="M47" s="286"/>
      <c r="N47" s="282"/>
      <c r="O47" s="283"/>
      <c r="P47" s="283"/>
      <c r="Q47" s="283"/>
      <c r="R47" s="283"/>
      <c r="S47" s="283"/>
      <c r="T47" s="283"/>
      <c r="U47" s="283"/>
      <c r="V47" s="283"/>
      <c r="W47" s="283"/>
      <c r="X47" s="283"/>
      <c r="Y47" s="283"/>
      <c r="Z47" s="283"/>
      <c r="AA47" s="284"/>
      <c r="AB47" s="284"/>
    </row>
    <row r="48" ht="63.0" customHeight="true">
      <c r="A48" s="279" t="s">
        <v>4445</v>
      </c>
      <c r="B48" s="281" t="s">
        <v>4446</v>
      </c>
      <c r="C48" s="281" t="s">
        <v>4447</v>
      </c>
      <c r="D48" s="281" t="s">
        <v>4442</v>
      </c>
      <c r="E48" s="281" t="s">
        <v>4448</v>
      </c>
      <c r="F48" s="285" t="s">
        <v>2959</v>
      </c>
      <c r="G48" s="281" t="s">
        <v>4449</v>
      </c>
      <c r="H48" s="281" t="s">
        <v>2959</v>
      </c>
      <c r="I48" s="282"/>
      <c r="J48" s="271"/>
      <c r="K48" s="281" t="s">
        <v>227</v>
      </c>
      <c r="L48" s="271"/>
      <c r="M48" s="286"/>
      <c r="N48" s="283"/>
      <c r="O48" s="283"/>
      <c r="P48" s="283"/>
      <c r="Q48" s="283"/>
      <c r="R48" s="283"/>
      <c r="S48" s="283"/>
      <c r="T48" s="283"/>
      <c r="U48" s="283"/>
      <c r="V48" s="283"/>
      <c r="W48" s="283"/>
      <c r="X48" s="283"/>
      <c r="Y48" s="283"/>
      <c r="Z48" s="283"/>
      <c r="AA48" s="284"/>
      <c r="AB48" s="284"/>
    </row>
    <row r="49" ht="63.0" customHeight="true">
      <c r="A49" s="279" t="s">
        <v>4450</v>
      </c>
      <c r="B49" s="281" t="s">
        <v>4451</v>
      </c>
      <c r="C49" s="281" t="s">
        <v>4452</v>
      </c>
      <c r="D49" s="281" t="s">
        <v>4442</v>
      </c>
      <c r="E49" s="281" t="s">
        <v>4453</v>
      </c>
      <c r="F49" s="285" t="s">
        <v>2959</v>
      </c>
      <c r="G49" s="281" t="s">
        <v>4454</v>
      </c>
      <c r="H49" s="281" t="s">
        <v>2959</v>
      </c>
      <c r="I49" s="282"/>
      <c r="J49" s="271"/>
      <c r="K49" s="281" t="s">
        <v>227</v>
      </c>
      <c r="L49" s="271"/>
      <c r="M49" s="286"/>
      <c r="N49" s="283"/>
      <c r="O49" s="283"/>
      <c r="P49" s="283"/>
      <c r="Q49" s="283"/>
      <c r="R49" s="283"/>
      <c r="S49" s="283"/>
      <c r="T49" s="283"/>
      <c r="U49" s="283"/>
      <c r="V49" s="283"/>
      <c r="W49" s="283"/>
      <c r="X49" s="283"/>
      <c r="Y49" s="283"/>
      <c r="Z49" s="283"/>
      <c r="AA49" s="284"/>
      <c r="AB49" s="284"/>
    </row>
    <row r="50" ht="32.25" customHeight="true">
      <c r="A50" s="279" t="s">
        <v>4455</v>
      </c>
      <c r="B50" s="279" t="s">
        <v>4456</v>
      </c>
      <c r="C50" s="279" t="s">
        <v>4457</v>
      </c>
      <c r="D50" s="279" t="s">
        <v>4442</v>
      </c>
      <c r="E50" s="279" t="s">
        <v>4458</v>
      </c>
      <c r="F50" s="293" t="s">
        <v>3363</v>
      </c>
      <c r="G50" s="279" t="s">
        <v>4459</v>
      </c>
      <c r="H50" s="279" t="s">
        <v>2959</v>
      </c>
      <c r="I50" s="282"/>
      <c r="J50" s="282"/>
      <c r="K50" s="279" t="s">
        <v>227</v>
      </c>
      <c r="L50" s="282"/>
      <c r="M50" s="282"/>
      <c r="N50" s="282"/>
      <c r="O50" s="271"/>
      <c r="P50" s="271"/>
      <c r="Q50" s="271"/>
      <c r="R50" s="271"/>
      <c r="S50" s="271"/>
      <c r="T50" s="271"/>
      <c r="U50" s="271"/>
      <c r="V50" s="271"/>
      <c r="W50" s="271"/>
      <c r="X50" s="271"/>
      <c r="Y50" s="271"/>
      <c r="Z50" s="271"/>
      <c r="AA50" s="272"/>
      <c r="AB50" s="272"/>
    </row>
    <row r="51" ht="63.0" customHeight="true">
      <c r="A51" s="279" t="s">
        <v>4460</v>
      </c>
      <c r="B51" s="281" t="s">
        <v>4461</v>
      </c>
      <c r="C51" s="281" t="s">
        <v>4462</v>
      </c>
      <c r="D51" s="281" t="s">
        <v>4463</v>
      </c>
      <c r="E51" s="281" t="s">
        <v>4464</v>
      </c>
      <c r="F51" s="285" t="s">
        <v>2959</v>
      </c>
      <c r="G51" s="281" t="s">
        <v>4465</v>
      </c>
      <c r="H51" s="281" t="s">
        <v>2959</v>
      </c>
      <c r="I51" s="282"/>
      <c r="J51" s="271"/>
      <c r="K51" s="281" t="s">
        <v>225</v>
      </c>
      <c r="L51" s="271"/>
      <c r="M51" s="286"/>
      <c r="N51" s="283"/>
      <c r="O51" s="283"/>
      <c r="P51" s="283"/>
      <c r="Q51" s="283"/>
      <c r="R51" s="283"/>
      <c r="S51" s="283"/>
      <c r="T51" s="283"/>
      <c r="U51" s="283"/>
      <c r="V51" s="283"/>
      <c r="W51" s="283"/>
      <c r="X51" s="283"/>
      <c r="Y51" s="283"/>
      <c r="Z51" s="283"/>
      <c r="AA51" s="284"/>
      <c r="AB51" s="284"/>
    </row>
    <row r="52" ht="63.0" customHeight="true">
      <c r="A52" s="279" t="s">
        <v>4466</v>
      </c>
      <c r="B52" s="281" t="s">
        <v>4467</v>
      </c>
      <c r="C52" s="281" t="s">
        <v>4468</v>
      </c>
      <c r="D52" s="281" t="s">
        <v>4469</v>
      </c>
      <c r="E52" s="281" t="s">
        <v>4470</v>
      </c>
      <c r="F52" s="285" t="s">
        <v>2959</v>
      </c>
      <c r="G52" s="281" t="s">
        <v>4471</v>
      </c>
      <c r="H52" s="281" t="s">
        <v>2959</v>
      </c>
      <c r="I52" s="282"/>
      <c r="J52" s="271"/>
      <c r="K52" s="281" t="s">
        <v>225</v>
      </c>
      <c r="L52" s="271"/>
      <c r="M52" s="286"/>
      <c r="N52" s="283"/>
      <c r="O52" s="283"/>
      <c r="P52" s="283"/>
      <c r="Q52" s="283"/>
      <c r="R52" s="283"/>
      <c r="S52" s="283"/>
      <c r="T52" s="283"/>
      <c r="U52" s="283"/>
      <c r="V52" s="283"/>
      <c r="W52" s="283"/>
      <c r="X52" s="283"/>
      <c r="Y52" s="283"/>
      <c r="Z52" s="283"/>
      <c r="AA52" s="284"/>
      <c r="AB52" s="284"/>
    </row>
    <row r="53" ht="63.0" customHeight="true">
      <c r="A53" s="279" t="s">
        <v>4472</v>
      </c>
      <c r="B53" s="281" t="s">
        <v>4473</v>
      </c>
      <c r="C53" s="281" t="s">
        <v>4474</v>
      </c>
      <c r="D53" s="281" t="s">
        <v>4442</v>
      </c>
      <c r="E53" s="281" t="s">
        <v>4475</v>
      </c>
      <c r="F53" s="285" t="s">
        <v>2959</v>
      </c>
      <c r="G53" s="281" t="s">
        <v>4476</v>
      </c>
      <c r="H53" s="281" t="s">
        <v>2959</v>
      </c>
      <c r="I53" s="282"/>
      <c r="J53" s="271"/>
      <c r="K53" s="281" t="s">
        <v>229</v>
      </c>
      <c r="L53" s="271"/>
      <c r="M53" s="286"/>
      <c r="N53" s="283"/>
      <c r="O53" s="283"/>
      <c r="P53" s="283"/>
      <c r="Q53" s="283"/>
      <c r="R53" s="283"/>
      <c r="S53" s="283"/>
      <c r="T53" s="283"/>
      <c r="U53" s="283"/>
      <c r="V53" s="283"/>
      <c r="W53" s="283"/>
      <c r="X53" s="283"/>
      <c r="Y53" s="283"/>
      <c r="Z53" s="283"/>
      <c r="AA53" s="284"/>
      <c r="AB53" s="284"/>
    </row>
    <row r="54" ht="63.0" customHeight="true">
      <c r="A54" s="279" t="s">
        <v>4477</v>
      </c>
      <c r="B54" s="279" t="s">
        <v>4478</v>
      </c>
      <c r="C54" s="279" t="s">
        <v>4479</v>
      </c>
      <c r="D54" s="279" t="s">
        <v>4442</v>
      </c>
      <c r="E54" s="279" t="s">
        <v>4480</v>
      </c>
      <c r="F54" s="280" t="s">
        <v>2959</v>
      </c>
      <c r="G54" s="281" t="s">
        <v>4481</v>
      </c>
      <c r="H54" s="279" t="s">
        <v>2959</v>
      </c>
      <c r="I54" s="282"/>
      <c r="J54" s="282"/>
      <c r="K54" s="279" t="s">
        <v>227</v>
      </c>
      <c r="L54" s="282"/>
      <c r="M54" s="286"/>
      <c r="N54" s="282"/>
      <c r="O54" s="283"/>
      <c r="P54" s="283"/>
      <c r="Q54" s="283"/>
      <c r="R54" s="283"/>
      <c r="S54" s="283"/>
      <c r="T54" s="283"/>
      <c r="U54" s="283"/>
      <c r="V54" s="283"/>
      <c r="W54" s="283"/>
      <c r="X54" s="283"/>
      <c r="Y54" s="283"/>
      <c r="Z54" s="283"/>
      <c r="AA54" s="284"/>
      <c r="AB54" s="284"/>
    </row>
    <row r="55" ht="63.0" customHeight="true">
      <c r="A55" s="279" t="s">
        <v>4482</v>
      </c>
      <c r="B55" s="281" t="s">
        <v>4483</v>
      </c>
      <c r="C55" s="281" t="s">
        <v>4484</v>
      </c>
      <c r="D55" s="281" t="s">
        <v>4442</v>
      </c>
      <c r="E55" s="281" t="s">
        <v>4485</v>
      </c>
      <c r="F55" s="285" t="s">
        <v>2959</v>
      </c>
      <c r="G55" s="281" t="s">
        <v>4486</v>
      </c>
      <c r="H55" s="281" t="s">
        <v>2959</v>
      </c>
      <c r="I55" s="282"/>
      <c r="J55" s="271"/>
      <c r="K55" s="281" t="s">
        <v>229</v>
      </c>
      <c r="L55" s="271"/>
      <c r="M55" s="286"/>
      <c r="N55" s="283"/>
      <c r="O55" s="283"/>
      <c r="P55" s="283"/>
      <c r="Q55" s="283"/>
      <c r="R55" s="283"/>
      <c r="S55" s="283"/>
      <c r="T55" s="283"/>
      <c r="U55" s="283"/>
      <c r="V55" s="283"/>
      <c r="W55" s="283"/>
      <c r="X55" s="283"/>
      <c r="Y55" s="283"/>
      <c r="Z55" s="283"/>
      <c r="AA55" s="284"/>
      <c r="AB55" s="284"/>
    </row>
    <row r="56" ht="35.25" customHeight="true">
      <c r="A56" s="273" t="s">
        <v>4487</v>
      </c>
      <c r="B56" s="274"/>
      <c r="C56" s="274"/>
      <c r="D56" s="274"/>
      <c r="E56" s="274"/>
      <c r="F56" s="287"/>
      <c r="G56" s="274"/>
      <c r="H56" s="274"/>
      <c r="I56" s="274"/>
      <c r="J56" s="274"/>
      <c r="K56" s="275"/>
      <c r="L56" s="276"/>
      <c r="M56" s="276"/>
      <c r="N56" s="276"/>
      <c r="O56" s="277"/>
      <c r="P56" s="277"/>
      <c r="Q56" s="277"/>
      <c r="R56" s="277"/>
      <c r="S56" s="277"/>
      <c r="T56" s="277"/>
      <c r="U56" s="277"/>
      <c r="V56" s="277"/>
      <c r="W56" s="277"/>
      <c r="X56" s="277"/>
      <c r="Y56" s="277"/>
      <c r="Z56" s="277"/>
      <c r="AA56" s="278"/>
      <c r="AB56" s="278"/>
    </row>
    <row r="57" ht="63.0" customHeight="true">
      <c r="A57" s="279" t="s">
        <v>4488</v>
      </c>
      <c r="B57" s="281" t="s">
        <v>4489</v>
      </c>
      <c r="C57" s="281" t="s">
        <v>4490</v>
      </c>
      <c r="D57" s="281" t="s">
        <v>4442</v>
      </c>
      <c r="E57" s="281" t="s">
        <v>4491</v>
      </c>
      <c r="F57" s="285" t="s">
        <v>4492</v>
      </c>
      <c r="G57" s="281" t="s">
        <v>4493</v>
      </c>
      <c r="H57" s="281" t="s">
        <v>2959</v>
      </c>
      <c r="I57" s="282"/>
      <c r="J57" s="271"/>
      <c r="K57" s="281" t="s">
        <v>225</v>
      </c>
      <c r="L57" s="271"/>
      <c r="M57" s="286"/>
      <c r="N57" s="283"/>
      <c r="O57" s="283"/>
      <c r="P57" s="283"/>
      <c r="Q57" s="283"/>
      <c r="R57" s="283"/>
      <c r="S57" s="283"/>
      <c r="T57" s="283"/>
      <c r="U57" s="283"/>
      <c r="V57" s="283"/>
      <c r="W57" s="283"/>
      <c r="X57" s="283"/>
      <c r="Y57" s="283"/>
      <c r="Z57" s="283"/>
      <c r="AA57" s="284"/>
      <c r="AB57" s="284"/>
    </row>
    <row r="58" ht="63.0" customHeight="true">
      <c r="A58" s="279" t="s">
        <v>4494</v>
      </c>
      <c r="B58" s="281" t="s">
        <v>4495</v>
      </c>
      <c r="C58" s="281" t="s">
        <v>4496</v>
      </c>
      <c r="D58" s="281" t="s">
        <v>4442</v>
      </c>
      <c r="E58" s="281" t="s">
        <v>4497</v>
      </c>
      <c r="F58" s="285" t="s">
        <v>4498</v>
      </c>
      <c r="G58" s="281" t="s">
        <v>4499</v>
      </c>
      <c r="H58" s="281" t="s">
        <v>2959</v>
      </c>
      <c r="I58" s="282"/>
      <c r="J58" s="271"/>
      <c r="K58" s="281" t="s">
        <v>225</v>
      </c>
      <c r="L58" s="271"/>
      <c r="M58" s="286"/>
      <c r="N58" s="283"/>
      <c r="O58" s="283"/>
      <c r="P58" s="283"/>
      <c r="Q58" s="283"/>
      <c r="R58" s="283"/>
      <c r="S58" s="283"/>
      <c r="T58" s="283"/>
      <c r="U58" s="283"/>
      <c r="V58" s="283"/>
      <c r="W58" s="283"/>
      <c r="X58" s="283"/>
      <c r="Y58" s="283"/>
      <c r="Z58" s="283"/>
      <c r="AA58" s="284"/>
      <c r="AB58" s="284"/>
    </row>
    <row r="59" ht="63.0" customHeight="true">
      <c r="A59" s="279" t="s">
        <v>4500</v>
      </c>
      <c r="B59" s="279" t="s">
        <v>4501</v>
      </c>
      <c r="C59" s="279" t="s">
        <v>4502</v>
      </c>
      <c r="D59" s="279" t="s">
        <v>4442</v>
      </c>
      <c r="E59" s="279" t="s">
        <v>4503</v>
      </c>
      <c r="F59" s="280" t="s">
        <v>4504</v>
      </c>
      <c r="G59" s="281" t="s">
        <v>4499</v>
      </c>
      <c r="H59" s="279" t="s">
        <v>2959</v>
      </c>
      <c r="I59" s="282"/>
      <c r="J59" s="282"/>
      <c r="K59" s="279" t="s">
        <v>225</v>
      </c>
      <c r="L59" s="282"/>
      <c r="M59" s="286"/>
      <c r="N59" s="282"/>
      <c r="O59" s="283"/>
      <c r="P59" s="283"/>
      <c r="Q59" s="283"/>
      <c r="R59" s="283"/>
      <c r="S59" s="283"/>
      <c r="T59" s="283"/>
      <c r="U59" s="283"/>
      <c r="V59" s="283"/>
      <c r="W59" s="283"/>
      <c r="X59" s="283"/>
      <c r="Y59" s="283"/>
      <c r="Z59" s="283"/>
      <c r="AA59" s="284"/>
      <c r="AB59" s="284"/>
    </row>
    <row r="60" ht="63.0" customHeight="true">
      <c r="A60" s="281" t="s">
        <v>4505</v>
      </c>
      <c r="B60" s="281" t="s">
        <v>4506</v>
      </c>
      <c r="C60" s="281" t="s">
        <v>4507</v>
      </c>
      <c r="D60" s="281" t="s">
        <v>4442</v>
      </c>
      <c r="E60" s="281" t="s">
        <v>4508</v>
      </c>
      <c r="F60" s="285" t="s">
        <v>4509</v>
      </c>
      <c r="G60" s="281" t="s">
        <v>4510</v>
      </c>
      <c r="H60" s="281" t="s">
        <v>2959</v>
      </c>
      <c r="I60" s="282"/>
      <c r="J60" s="271"/>
      <c r="K60" s="279" t="s">
        <v>229</v>
      </c>
      <c r="L60" s="271"/>
      <c r="M60" s="286"/>
      <c r="N60" s="283"/>
      <c r="O60" s="283"/>
      <c r="P60" s="283"/>
      <c r="Q60" s="283"/>
      <c r="R60" s="283"/>
      <c r="S60" s="283"/>
      <c r="T60" s="283"/>
      <c r="U60" s="283"/>
      <c r="V60" s="283"/>
      <c r="W60" s="283"/>
      <c r="X60" s="283"/>
      <c r="Y60" s="283"/>
      <c r="Z60" s="283"/>
      <c r="AA60" s="284"/>
      <c r="AB60" s="284"/>
    </row>
    <row r="61" ht="63.0" customHeight="true">
      <c r="A61" s="279" t="s">
        <v>4511</v>
      </c>
      <c r="B61" s="281" t="s">
        <v>4512</v>
      </c>
      <c r="C61" s="281" t="s">
        <v>4513</v>
      </c>
      <c r="D61" s="281" t="s">
        <v>4442</v>
      </c>
      <c r="E61" s="281" t="s">
        <v>4514</v>
      </c>
      <c r="F61" s="285" t="s">
        <v>4515</v>
      </c>
      <c r="G61" s="281" t="s">
        <v>4516</v>
      </c>
      <c r="H61" s="281" t="s">
        <v>2959</v>
      </c>
      <c r="I61" s="282"/>
      <c r="J61" s="271"/>
      <c r="K61" s="281" t="s">
        <v>225</v>
      </c>
      <c r="L61" s="271"/>
      <c r="M61" s="286"/>
      <c r="N61" s="283"/>
      <c r="O61" s="283"/>
      <c r="P61" s="283"/>
      <c r="Q61" s="283"/>
      <c r="R61" s="283"/>
      <c r="S61" s="283"/>
      <c r="T61" s="283"/>
      <c r="U61" s="283"/>
      <c r="V61" s="283"/>
      <c r="W61" s="283"/>
      <c r="X61" s="283"/>
      <c r="Y61" s="283"/>
      <c r="Z61" s="283"/>
      <c r="AA61" s="284"/>
      <c r="AB61" s="284"/>
    </row>
    <row r="62" ht="63.0" customHeight="true">
      <c r="A62" s="279" t="s">
        <v>4517</v>
      </c>
      <c r="B62" s="281" t="s">
        <v>4518</v>
      </c>
      <c r="C62" s="281" t="s">
        <v>4519</v>
      </c>
      <c r="D62" s="281" t="s">
        <v>4442</v>
      </c>
      <c r="E62" s="281" t="s">
        <v>4520</v>
      </c>
      <c r="F62" s="285" t="s">
        <v>4521</v>
      </c>
      <c r="G62" s="281" t="s">
        <v>4522</v>
      </c>
      <c r="H62" s="281" t="s">
        <v>2959</v>
      </c>
      <c r="I62" s="282"/>
      <c r="J62" s="271"/>
      <c r="K62" s="281" t="s">
        <v>225</v>
      </c>
      <c r="L62" s="271"/>
      <c r="M62" s="286"/>
      <c r="N62" s="283"/>
      <c r="O62" s="283"/>
      <c r="P62" s="283"/>
      <c r="Q62" s="283"/>
      <c r="R62" s="283"/>
      <c r="S62" s="283"/>
      <c r="T62" s="283"/>
      <c r="U62" s="283"/>
      <c r="V62" s="283"/>
      <c r="W62" s="283"/>
      <c r="X62" s="283"/>
      <c r="Y62" s="283"/>
      <c r="Z62" s="283"/>
      <c r="AA62" s="284"/>
      <c r="AB62" s="284"/>
    </row>
    <row r="63" ht="63.0" customHeight="true">
      <c r="A63" s="279" t="s">
        <v>4523</v>
      </c>
      <c r="B63" s="279" t="s">
        <v>4524</v>
      </c>
      <c r="C63" s="279" t="s">
        <v>4525</v>
      </c>
      <c r="D63" s="279" t="s">
        <v>4442</v>
      </c>
      <c r="E63" s="279" t="s">
        <v>4508</v>
      </c>
      <c r="F63" s="280" t="s">
        <v>4526</v>
      </c>
      <c r="G63" s="281" t="s">
        <v>4527</v>
      </c>
      <c r="H63" s="279" t="s">
        <v>2959</v>
      </c>
      <c r="I63" s="282"/>
      <c r="J63" s="282"/>
      <c r="K63" s="279" t="s">
        <v>225</v>
      </c>
      <c r="L63" s="282"/>
      <c r="M63" s="286"/>
      <c r="N63" s="282"/>
      <c r="O63" s="283"/>
      <c r="P63" s="283"/>
      <c r="Q63" s="283"/>
      <c r="R63" s="283"/>
      <c r="S63" s="283"/>
      <c r="T63" s="283"/>
      <c r="U63" s="283"/>
      <c r="V63" s="283"/>
      <c r="W63" s="283"/>
      <c r="X63" s="283"/>
      <c r="Y63" s="283"/>
      <c r="Z63" s="283"/>
      <c r="AA63" s="284"/>
      <c r="AB63" s="284"/>
    </row>
    <row r="64" ht="63.0" customHeight="true">
      <c r="A64" s="279" t="s">
        <v>4528</v>
      </c>
      <c r="B64" s="281" t="s">
        <v>4529</v>
      </c>
      <c r="C64" s="281" t="s">
        <v>4530</v>
      </c>
      <c r="D64" s="281" t="s">
        <v>4442</v>
      </c>
      <c r="E64" s="281" t="s">
        <v>4531</v>
      </c>
      <c r="F64" s="285" t="s">
        <v>4532</v>
      </c>
      <c r="G64" s="281" t="s">
        <v>4533</v>
      </c>
      <c r="H64" s="281" t="s">
        <v>2959</v>
      </c>
      <c r="I64" s="282"/>
      <c r="J64" s="271"/>
      <c r="K64" s="281" t="s">
        <v>227</v>
      </c>
      <c r="L64" s="271"/>
      <c r="M64" s="286"/>
      <c r="N64" s="283"/>
      <c r="O64" s="283"/>
      <c r="P64" s="283"/>
      <c r="Q64" s="283"/>
      <c r="R64" s="283"/>
      <c r="S64" s="283"/>
      <c r="T64" s="283"/>
      <c r="U64" s="283"/>
      <c r="V64" s="283"/>
      <c r="W64" s="283"/>
      <c r="X64" s="283"/>
      <c r="Y64" s="283"/>
      <c r="Z64" s="283"/>
      <c r="AA64" s="284"/>
      <c r="AB64" s="284"/>
    </row>
    <row r="65" ht="63.0" customHeight="true">
      <c r="A65" s="279" t="s">
        <v>4534</v>
      </c>
      <c r="B65" s="279" t="s">
        <v>4535</v>
      </c>
      <c r="C65" s="279" t="s">
        <v>4536</v>
      </c>
      <c r="D65" s="279" t="s">
        <v>4442</v>
      </c>
      <c r="E65" s="279" t="s">
        <v>4508</v>
      </c>
      <c r="F65" s="280" t="s">
        <v>4537</v>
      </c>
      <c r="G65" s="281" t="s">
        <v>4538</v>
      </c>
      <c r="H65" s="279" t="s">
        <v>2959</v>
      </c>
      <c r="I65" s="282"/>
      <c r="J65" s="282"/>
      <c r="K65" s="279" t="s">
        <v>227</v>
      </c>
      <c r="L65" s="282"/>
      <c r="M65" s="282"/>
      <c r="N65" s="282"/>
      <c r="O65" s="283"/>
      <c r="P65" s="283"/>
      <c r="Q65" s="283"/>
      <c r="R65" s="283"/>
      <c r="S65" s="283"/>
      <c r="T65" s="283"/>
      <c r="U65" s="283"/>
      <c r="V65" s="283"/>
      <c r="W65" s="283"/>
      <c r="X65" s="283"/>
      <c r="Y65" s="283"/>
      <c r="Z65" s="283"/>
      <c r="AA65" s="284"/>
      <c r="AB65" s="284"/>
    </row>
    <row r="66" ht="63.0" customHeight="true">
      <c r="A66" s="279" t="s">
        <v>4539</v>
      </c>
      <c r="B66" s="281" t="s">
        <v>4540</v>
      </c>
      <c r="C66" s="281" t="s">
        <v>4541</v>
      </c>
      <c r="D66" s="281" t="s">
        <v>4442</v>
      </c>
      <c r="E66" s="281" t="s">
        <v>4508</v>
      </c>
      <c r="F66" s="285" t="s">
        <v>4542</v>
      </c>
      <c r="G66" s="281" t="s">
        <v>4543</v>
      </c>
      <c r="H66" s="281" t="s">
        <v>2959</v>
      </c>
      <c r="I66" s="282"/>
      <c r="J66" s="271"/>
      <c r="K66" s="281" t="s">
        <v>227</v>
      </c>
      <c r="L66" s="271"/>
      <c r="M66" s="286"/>
      <c r="N66" s="283"/>
      <c r="O66" s="283"/>
      <c r="P66" s="283"/>
      <c r="Q66" s="283"/>
      <c r="R66" s="283"/>
      <c r="S66" s="283"/>
      <c r="T66" s="283"/>
      <c r="U66" s="283"/>
      <c r="V66" s="283"/>
      <c r="W66" s="283"/>
      <c r="X66" s="283"/>
      <c r="Y66" s="283"/>
      <c r="Z66" s="283"/>
      <c r="AA66" s="284"/>
      <c r="AB66" s="284"/>
    </row>
    <row r="67" ht="42.75" customHeight="true">
      <c r="A67" s="279" t="s">
        <v>4544</v>
      </c>
      <c r="B67" s="279" t="s">
        <v>4545</v>
      </c>
      <c r="C67" s="279" t="s">
        <v>4546</v>
      </c>
      <c r="D67" s="279" t="s">
        <v>4442</v>
      </c>
      <c r="E67" s="279" t="s">
        <v>4547</v>
      </c>
      <c r="F67" s="280" t="s">
        <v>4548</v>
      </c>
      <c r="G67" s="279" t="s">
        <v>4549</v>
      </c>
      <c r="H67" s="279" t="s">
        <v>4550</v>
      </c>
      <c r="I67" s="282"/>
      <c r="J67" s="282"/>
      <c r="K67" s="279" t="s">
        <v>225</v>
      </c>
      <c r="L67" s="282"/>
      <c r="M67" s="282"/>
      <c r="N67" s="282"/>
      <c r="O67" s="271"/>
      <c r="P67" s="271"/>
      <c r="Q67" s="271"/>
      <c r="R67" s="271"/>
      <c r="S67" s="271"/>
      <c r="T67" s="271"/>
      <c r="U67" s="271"/>
      <c r="V67" s="271"/>
      <c r="W67" s="271"/>
      <c r="X67" s="271"/>
      <c r="Y67" s="271"/>
      <c r="Z67" s="271"/>
      <c r="AA67" s="272"/>
      <c r="AB67" s="272"/>
    </row>
    <row r="68" ht="63.0" customHeight="true">
      <c r="A68" s="279" t="s">
        <v>4551</v>
      </c>
      <c r="B68" s="281" t="s">
        <v>4552</v>
      </c>
      <c r="C68" s="281" t="s">
        <v>4553</v>
      </c>
      <c r="D68" s="281" t="s">
        <v>4442</v>
      </c>
      <c r="E68" s="281" t="s">
        <v>4554</v>
      </c>
      <c r="F68" s="285" t="s">
        <v>2959</v>
      </c>
      <c r="G68" s="281" t="s">
        <v>4555</v>
      </c>
      <c r="H68" s="281" t="s">
        <v>2959</v>
      </c>
      <c r="I68" s="282"/>
      <c r="J68" s="271"/>
      <c r="K68" s="281" t="s">
        <v>229</v>
      </c>
      <c r="L68" s="271"/>
      <c r="M68" s="286"/>
      <c r="N68" s="283"/>
      <c r="O68" s="283"/>
      <c r="P68" s="283"/>
      <c r="Q68" s="283"/>
      <c r="R68" s="283"/>
      <c r="S68" s="283"/>
      <c r="T68" s="283"/>
      <c r="U68" s="283"/>
      <c r="V68" s="283"/>
      <c r="W68" s="283"/>
      <c r="X68" s="283"/>
      <c r="Y68" s="283"/>
      <c r="Z68" s="283"/>
      <c r="AA68" s="284"/>
      <c r="AB68" s="284"/>
    </row>
    <row r="69" ht="32.25" customHeight="true">
      <c r="A69" s="273" t="s">
        <v>4556</v>
      </c>
      <c r="B69" s="274"/>
      <c r="C69" s="274"/>
      <c r="D69" s="274"/>
      <c r="E69" s="274"/>
      <c r="F69" s="287"/>
      <c r="G69" s="274"/>
      <c r="H69" s="274"/>
      <c r="I69" s="274"/>
      <c r="J69" s="274"/>
      <c r="K69" s="275"/>
      <c r="L69" s="276"/>
      <c r="M69" s="276"/>
      <c r="N69" s="276"/>
      <c r="O69" s="277"/>
      <c r="P69" s="277"/>
      <c r="Q69" s="277"/>
      <c r="R69" s="277"/>
      <c r="S69" s="277"/>
      <c r="T69" s="277"/>
      <c r="U69" s="277"/>
      <c r="V69" s="277"/>
      <c r="W69" s="277"/>
      <c r="X69" s="277"/>
      <c r="Y69" s="277"/>
      <c r="Z69" s="277"/>
      <c r="AA69" s="278"/>
      <c r="AB69" s="278"/>
    </row>
    <row r="70" ht="63.0" customHeight="true">
      <c r="A70" s="279" t="s">
        <v>4557</v>
      </c>
      <c r="B70" s="281" t="s">
        <v>4558</v>
      </c>
      <c r="C70" s="281" t="s">
        <v>4559</v>
      </c>
      <c r="D70" s="281" t="s">
        <v>4442</v>
      </c>
      <c r="E70" s="281" t="s">
        <v>4560</v>
      </c>
      <c r="F70" s="285" t="s">
        <v>4561</v>
      </c>
      <c r="G70" s="281" t="s">
        <v>4562</v>
      </c>
      <c r="H70" s="281" t="s">
        <v>2959</v>
      </c>
      <c r="I70" s="282"/>
      <c r="J70" s="271"/>
      <c r="K70" s="281" t="s">
        <v>227</v>
      </c>
      <c r="L70" s="271"/>
      <c r="M70" s="286"/>
      <c r="N70" s="283"/>
      <c r="O70" s="283"/>
      <c r="P70" s="283"/>
      <c r="Q70" s="283"/>
      <c r="R70" s="283"/>
      <c r="S70" s="283"/>
      <c r="T70" s="283"/>
      <c r="U70" s="283"/>
      <c r="V70" s="283"/>
      <c r="W70" s="283"/>
      <c r="X70" s="283"/>
      <c r="Y70" s="283"/>
      <c r="Z70" s="283"/>
      <c r="AA70" s="284"/>
      <c r="AB70" s="284"/>
    </row>
    <row r="71" ht="63.0" customHeight="true">
      <c r="A71" s="279" t="s">
        <v>4563</v>
      </c>
      <c r="B71" s="281" t="s">
        <v>4564</v>
      </c>
      <c r="C71" s="281" t="s">
        <v>4565</v>
      </c>
      <c r="D71" s="281" t="s">
        <v>4442</v>
      </c>
      <c r="E71" s="281" t="s">
        <v>4566</v>
      </c>
      <c r="F71" s="285" t="s">
        <v>4567</v>
      </c>
      <c r="G71" s="281" t="s">
        <v>4568</v>
      </c>
      <c r="H71" s="281" t="s">
        <v>2959</v>
      </c>
      <c r="I71" s="282"/>
      <c r="J71" s="271"/>
      <c r="K71" s="281" t="s">
        <v>225</v>
      </c>
      <c r="L71" s="271"/>
      <c r="M71" s="286"/>
      <c r="N71" s="283"/>
      <c r="O71" s="283"/>
      <c r="P71" s="283"/>
      <c r="Q71" s="283"/>
      <c r="R71" s="283"/>
      <c r="S71" s="283"/>
      <c r="T71" s="283"/>
      <c r="U71" s="283"/>
      <c r="V71" s="283"/>
      <c r="W71" s="283"/>
      <c r="X71" s="283"/>
      <c r="Y71" s="283"/>
      <c r="Z71" s="283"/>
      <c r="AA71" s="284"/>
      <c r="AB71" s="284"/>
    </row>
    <row r="72" ht="63.0" customHeight="true">
      <c r="A72" s="279" t="s">
        <v>4569</v>
      </c>
      <c r="B72" s="281" t="s">
        <v>4570</v>
      </c>
      <c r="C72" s="281" t="s">
        <v>4571</v>
      </c>
      <c r="D72" s="281" t="s">
        <v>4442</v>
      </c>
      <c r="E72" s="281" t="s">
        <v>4572</v>
      </c>
      <c r="F72" s="285" t="s">
        <v>4567</v>
      </c>
      <c r="G72" s="281" t="s">
        <v>4573</v>
      </c>
      <c r="H72" s="281" t="s">
        <v>2959</v>
      </c>
      <c r="I72" s="282"/>
      <c r="J72" s="271"/>
      <c r="K72" s="281" t="s">
        <v>225</v>
      </c>
      <c r="L72" s="271"/>
      <c r="M72" s="286"/>
      <c r="N72" s="283"/>
      <c r="O72" s="283"/>
      <c r="P72" s="283"/>
      <c r="Q72" s="283"/>
      <c r="R72" s="283"/>
      <c r="S72" s="283"/>
      <c r="T72" s="283"/>
      <c r="U72" s="283"/>
      <c r="V72" s="283"/>
      <c r="W72" s="283"/>
      <c r="X72" s="283"/>
      <c r="Y72" s="283"/>
      <c r="Z72" s="283"/>
      <c r="AA72" s="284"/>
      <c r="AB72" s="284"/>
    </row>
    <row r="73" ht="63.0" customHeight="true">
      <c r="A73" s="279" t="s">
        <v>4574</v>
      </c>
      <c r="B73" s="281" t="s">
        <v>4575</v>
      </c>
      <c r="C73" s="281" t="s">
        <v>4576</v>
      </c>
      <c r="D73" s="281" t="s">
        <v>4442</v>
      </c>
      <c r="E73" s="281" t="s">
        <v>4577</v>
      </c>
      <c r="F73" s="285" t="s">
        <v>2959</v>
      </c>
      <c r="G73" s="281" t="s">
        <v>4578</v>
      </c>
      <c r="H73" s="281" t="s">
        <v>2959</v>
      </c>
      <c r="I73" s="282"/>
      <c r="J73" s="271"/>
      <c r="K73" s="281" t="s">
        <v>227</v>
      </c>
      <c r="L73" s="271"/>
      <c r="M73" s="286"/>
      <c r="N73" s="283"/>
      <c r="O73" s="283"/>
      <c r="P73" s="283"/>
      <c r="Q73" s="283"/>
      <c r="R73" s="283"/>
      <c r="S73" s="283"/>
      <c r="T73" s="283"/>
      <c r="U73" s="283"/>
      <c r="V73" s="283"/>
      <c r="W73" s="283"/>
      <c r="X73" s="283"/>
      <c r="Y73" s="283"/>
      <c r="Z73" s="283"/>
      <c r="AA73" s="284"/>
      <c r="AB73" s="284"/>
    </row>
    <row r="74" ht="39.75" customHeight="true">
      <c r="A74" s="279" t="s">
        <v>4579</v>
      </c>
      <c r="B74" s="279" t="s">
        <v>4580</v>
      </c>
      <c r="C74" s="279" t="s">
        <v>4581</v>
      </c>
      <c r="D74" s="279" t="s">
        <v>4442</v>
      </c>
      <c r="E74" s="279" t="s">
        <v>4582</v>
      </c>
      <c r="F74" s="280" t="s">
        <v>4567</v>
      </c>
      <c r="G74" s="279" t="s">
        <v>4583</v>
      </c>
      <c r="H74" s="279" t="s">
        <v>2959</v>
      </c>
      <c r="I74" s="282"/>
      <c r="J74" s="282"/>
      <c r="K74" s="279" t="s">
        <v>227</v>
      </c>
      <c r="L74" s="282"/>
      <c r="M74" s="282"/>
      <c r="N74" s="282"/>
      <c r="O74" s="271"/>
      <c r="P74" s="271"/>
      <c r="Q74" s="271"/>
      <c r="R74" s="271"/>
      <c r="S74" s="271"/>
      <c r="T74" s="271"/>
      <c r="U74" s="271"/>
      <c r="V74" s="271"/>
      <c r="W74" s="271"/>
      <c r="X74" s="271"/>
      <c r="Y74" s="271"/>
      <c r="Z74" s="271"/>
      <c r="AA74" s="272"/>
      <c r="AB74" s="272"/>
    </row>
    <row r="75" ht="63.0" customHeight="true">
      <c r="A75" s="279" t="s">
        <v>4584</v>
      </c>
      <c r="B75" s="279" t="s">
        <v>4585</v>
      </c>
      <c r="C75" s="279" t="s">
        <v>4586</v>
      </c>
      <c r="D75" s="279" t="s">
        <v>4442</v>
      </c>
      <c r="E75" s="279" t="s">
        <v>4587</v>
      </c>
      <c r="F75" s="280" t="s">
        <v>2959</v>
      </c>
      <c r="G75" s="281" t="s">
        <v>4588</v>
      </c>
      <c r="H75" s="279" t="s">
        <v>2959</v>
      </c>
      <c r="I75" s="282"/>
      <c r="J75" s="282"/>
      <c r="K75" s="279" t="s">
        <v>227</v>
      </c>
      <c r="L75" s="282"/>
      <c r="M75" s="286"/>
      <c r="N75" s="282"/>
      <c r="O75" s="283"/>
      <c r="P75" s="283"/>
      <c r="Q75" s="283"/>
      <c r="R75" s="283"/>
      <c r="S75" s="283"/>
      <c r="T75" s="283"/>
      <c r="U75" s="283"/>
      <c r="V75" s="283"/>
      <c r="W75" s="283"/>
      <c r="X75" s="283"/>
      <c r="Y75" s="283"/>
      <c r="Z75" s="283"/>
      <c r="AA75" s="284"/>
      <c r="AB75" s="284"/>
    </row>
    <row r="76" ht="63.0" customHeight="true">
      <c r="A76" s="279" t="s">
        <v>4589</v>
      </c>
      <c r="B76" s="281" t="s">
        <v>4590</v>
      </c>
      <c r="C76" s="281" t="s">
        <v>4591</v>
      </c>
      <c r="D76" s="281" t="s">
        <v>4442</v>
      </c>
      <c r="E76" s="281" t="s">
        <v>4592</v>
      </c>
      <c r="F76" s="285" t="s">
        <v>4593</v>
      </c>
      <c r="G76" s="294" t="s">
        <v>4594</v>
      </c>
      <c r="H76" s="281" t="s">
        <v>2959</v>
      </c>
      <c r="I76" s="282"/>
      <c r="J76" s="271"/>
      <c r="K76" s="281" t="s">
        <v>225</v>
      </c>
      <c r="L76" s="271"/>
      <c r="M76" s="286"/>
      <c r="N76" s="283"/>
      <c r="O76" s="283"/>
      <c r="P76" s="283"/>
      <c r="Q76" s="283"/>
      <c r="R76" s="283"/>
      <c r="S76" s="283"/>
      <c r="T76" s="283"/>
      <c r="U76" s="283"/>
      <c r="V76" s="283"/>
      <c r="W76" s="283"/>
      <c r="X76" s="283"/>
      <c r="Y76" s="283"/>
      <c r="Z76" s="283"/>
      <c r="AA76" s="284"/>
      <c r="AB76" s="284"/>
    </row>
    <row r="77" ht="63.0" customHeight="true">
      <c r="A77" s="279" t="s">
        <v>4595</v>
      </c>
      <c r="B77" s="281" t="s">
        <v>4596</v>
      </c>
      <c r="C77" s="281" t="s">
        <v>4597</v>
      </c>
      <c r="D77" s="281" t="s">
        <v>4442</v>
      </c>
      <c r="E77" s="281" t="s">
        <v>4598</v>
      </c>
      <c r="F77" s="285" t="s">
        <v>4593</v>
      </c>
      <c r="G77" s="294" t="s">
        <v>4599</v>
      </c>
      <c r="H77" s="281" t="s">
        <v>2959</v>
      </c>
      <c r="I77" s="282"/>
      <c r="J77" s="271"/>
      <c r="K77" s="281" t="s">
        <v>225</v>
      </c>
      <c r="L77" s="271"/>
      <c r="M77" s="286"/>
      <c r="N77" s="283"/>
      <c r="O77" s="283"/>
      <c r="P77" s="283"/>
      <c r="Q77" s="283"/>
      <c r="R77" s="283"/>
      <c r="S77" s="283"/>
      <c r="T77" s="283"/>
      <c r="U77" s="283"/>
      <c r="V77" s="283"/>
      <c r="W77" s="283"/>
      <c r="X77" s="283"/>
      <c r="Y77" s="283"/>
      <c r="Z77" s="283"/>
      <c r="AA77" s="284"/>
      <c r="AB77" s="284"/>
    </row>
    <row r="78" ht="63.0" customHeight="true">
      <c r="A78" s="279" t="s">
        <v>4600</v>
      </c>
      <c r="B78" s="281" t="s">
        <v>4601</v>
      </c>
      <c r="C78" s="281" t="s">
        <v>4602</v>
      </c>
      <c r="D78" s="281" t="s">
        <v>4442</v>
      </c>
      <c r="E78" s="281" t="s">
        <v>4603</v>
      </c>
      <c r="F78" s="285" t="s">
        <v>4604</v>
      </c>
      <c r="G78" s="281" t="s">
        <v>4605</v>
      </c>
      <c r="H78" s="281" t="s">
        <v>2959</v>
      </c>
      <c r="I78" s="282"/>
      <c r="J78" s="271"/>
      <c r="K78" s="281" t="s">
        <v>225</v>
      </c>
      <c r="L78" s="271"/>
      <c r="M78" s="286"/>
      <c r="N78" s="283"/>
      <c r="O78" s="283"/>
      <c r="P78" s="283"/>
      <c r="Q78" s="283"/>
      <c r="R78" s="283"/>
      <c r="S78" s="283"/>
      <c r="T78" s="283"/>
      <c r="U78" s="283"/>
      <c r="V78" s="283"/>
      <c r="W78" s="283"/>
      <c r="X78" s="283"/>
      <c r="Y78" s="283"/>
      <c r="Z78" s="283"/>
      <c r="AA78" s="284"/>
      <c r="AB78" s="284"/>
    </row>
    <row r="79" ht="63.0" customHeight="true">
      <c r="A79" s="279" t="s">
        <v>4606</v>
      </c>
      <c r="B79" s="279" t="s">
        <v>4607</v>
      </c>
      <c r="C79" s="279" t="s">
        <v>4608</v>
      </c>
      <c r="D79" s="279" t="s">
        <v>4442</v>
      </c>
      <c r="E79" s="279" t="s">
        <v>4609</v>
      </c>
      <c r="F79" s="280" t="s">
        <v>2959</v>
      </c>
      <c r="G79" s="289" t="s">
        <v>4610</v>
      </c>
      <c r="H79" s="279" t="s">
        <v>2959</v>
      </c>
      <c r="I79" s="282"/>
      <c r="J79" s="282"/>
      <c r="K79" s="279" t="s">
        <v>229</v>
      </c>
      <c r="L79" s="282"/>
      <c r="M79" s="282"/>
      <c r="N79" s="282"/>
      <c r="O79" s="283"/>
      <c r="P79" s="283"/>
      <c r="Q79" s="283"/>
      <c r="R79" s="283"/>
      <c r="S79" s="283"/>
      <c r="T79" s="283"/>
      <c r="U79" s="283"/>
      <c r="V79" s="283"/>
      <c r="W79" s="283"/>
      <c r="X79" s="283"/>
      <c r="Y79" s="283"/>
      <c r="Z79" s="283"/>
      <c r="AA79" s="284"/>
      <c r="AB79" s="284"/>
    </row>
    <row r="80" ht="63.0" customHeight="true">
      <c r="A80" s="279" t="s">
        <v>4611</v>
      </c>
      <c r="B80" s="281" t="s">
        <v>4612</v>
      </c>
      <c r="C80" s="281" t="s">
        <v>4613</v>
      </c>
      <c r="D80" s="281" t="s">
        <v>4614</v>
      </c>
      <c r="E80" s="281" t="s">
        <v>4615</v>
      </c>
      <c r="F80" s="285" t="s">
        <v>4616</v>
      </c>
      <c r="G80" s="281" t="s">
        <v>4617</v>
      </c>
      <c r="H80" s="281" t="s">
        <v>2959</v>
      </c>
      <c r="I80" s="282"/>
      <c r="J80" s="271"/>
      <c r="K80" s="281" t="s">
        <v>225</v>
      </c>
      <c r="L80" s="271"/>
      <c r="M80" s="286"/>
      <c r="N80" s="283"/>
      <c r="O80" s="283"/>
      <c r="P80" s="283"/>
      <c r="Q80" s="283"/>
      <c r="R80" s="283"/>
      <c r="S80" s="283"/>
      <c r="T80" s="283"/>
      <c r="U80" s="283"/>
      <c r="V80" s="283"/>
      <c r="W80" s="283"/>
      <c r="X80" s="283"/>
      <c r="Y80" s="283"/>
      <c r="Z80" s="283"/>
      <c r="AA80" s="284"/>
      <c r="AB80" s="284"/>
    </row>
    <row r="81" ht="63.0" customHeight="true">
      <c r="A81" s="279" t="s">
        <v>4618</v>
      </c>
      <c r="B81" s="281" t="s">
        <v>4619</v>
      </c>
      <c r="C81" s="281" t="s">
        <v>4620</v>
      </c>
      <c r="D81" s="281" t="s">
        <v>4442</v>
      </c>
      <c r="E81" s="281" t="s">
        <v>4621</v>
      </c>
      <c r="F81" s="285" t="s">
        <v>2959</v>
      </c>
      <c r="G81" s="281" t="s">
        <v>4622</v>
      </c>
      <c r="H81" s="281" t="s">
        <v>2959</v>
      </c>
      <c r="I81" s="282"/>
      <c r="J81" s="271"/>
      <c r="K81" s="281" t="s">
        <v>227</v>
      </c>
      <c r="L81" s="271"/>
      <c r="M81" s="286"/>
      <c r="N81" s="283"/>
      <c r="O81" s="283"/>
      <c r="P81" s="283"/>
      <c r="Q81" s="283"/>
      <c r="R81" s="283"/>
      <c r="S81" s="283"/>
      <c r="T81" s="283"/>
      <c r="U81" s="283"/>
      <c r="V81" s="283"/>
      <c r="W81" s="283"/>
      <c r="X81" s="283"/>
      <c r="Y81" s="283"/>
      <c r="Z81" s="283"/>
      <c r="AA81" s="284"/>
      <c r="AB81" s="284"/>
    </row>
    <row r="82" ht="63.0" customHeight="true">
      <c r="A82" s="279" t="s">
        <v>4623</v>
      </c>
      <c r="B82" s="281" t="s">
        <v>4624</v>
      </c>
      <c r="C82" s="281" t="s">
        <v>4625</v>
      </c>
      <c r="D82" s="281" t="s">
        <v>4442</v>
      </c>
      <c r="E82" s="281" t="s">
        <v>4626</v>
      </c>
      <c r="F82" s="285" t="s">
        <v>4627</v>
      </c>
      <c r="G82" s="281" t="s">
        <v>4628</v>
      </c>
      <c r="H82" s="281" t="s">
        <v>2959</v>
      </c>
      <c r="I82" s="282"/>
      <c r="J82" s="271"/>
      <c r="K82" s="281" t="s">
        <v>227</v>
      </c>
      <c r="L82" s="271"/>
      <c r="M82" s="286"/>
      <c r="N82" s="283"/>
      <c r="O82" s="283"/>
      <c r="P82" s="283"/>
      <c r="Q82" s="283"/>
      <c r="R82" s="283"/>
      <c r="S82" s="283"/>
      <c r="T82" s="283"/>
      <c r="U82" s="283"/>
      <c r="V82" s="283"/>
      <c r="W82" s="283"/>
      <c r="X82" s="283"/>
      <c r="Y82" s="283"/>
      <c r="Z82" s="283"/>
      <c r="AA82" s="284"/>
      <c r="AB82" s="284"/>
    </row>
    <row r="83" ht="63.0" customHeight="true">
      <c r="A83" s="279" t="s">
        <v>4629</v>
      </c>
      <c r="B83" s="279" t="s">
        <v>4630</v>
      </c>
      <c r="C83" s="279" t="s">
        <v>4631</v>
      </c>
      <c r="D83" s="279" t="s">
        <v>4442</v>
      </c>
      <c r="E83" s="279" t="s">
        <v>4632</v>
      </c>
      <c r="F83" s="280" t="s">
        <v>2959</v>
      </c>
      <c r="G83" s="279" t="s">
        <v>4633</v>
      </c>
      <c r="H83" s="279" t="s">
        <v>2959</v>
      </c>
      <c r="I83" s="282"/>
      <c r="J83" s="282"/>
      <c r="K83" s="279" t="s">
        <v>229</v>
      </c>
      <c r="L83" s="282"/>
      <c r="M83" s="286"/>
      <c r="N83" s="282"/>
      <c r="O83" s="283"/>
      <c r="P83" s="283"/>
      <c r="Q83" s="283"/>
      <c r="R83" s="283"/>
      <c r="S83" s="283"/>
      <c r="T83" s="283"/>
      <c r="U83" s="283"/>
      <c r="V83" s="283"/>
      <c r="W83" s="283"/>
      <c r="X83" s="283"/>
      <c r="Y83" s="283"/>
      <c r="Z83" s="283"/>
      <c r="AA83" s="284"/>
      <c r="AB83" s="284"/>
    </row>
    <row r="84" ht="63.0" customHeight="true">
      <c r="A84" s="279" t="s">
        <v>4634</v>
      </c>
      <c r="B84" s="281" t="s">
        <v>4635</v>
      </c>
      <c r="C84" s="281" t="s">
        <v>4636</v>
      </c>
      <c r="D84" s="281" t="s">
        <v>4637</v>
      </c>
      <c r="E84" s="281" t="s">
        <v>4638</v>
      </c>
      <c r="F84" s="285" t="s">
        <v>2959</v>
      </c>
      <c r="G84" s="281" t="s">
        <v>4639</v>
      </c>
      <c r="H84" s="281" t="s">
        <v>4411</v>
      </c>
      <c r="I84" s="282"/>
      <c r="J84" s="271"/>
      <c r="K84" s="281" t="s">
        <v>227</v>
      </c>
      <c r="L84" s="271"/>
      <c r="M84" s="286"/>
      <c r="N84" s="283"/>
      <c r="O84" s="283"/>
      <c r="P84" s="283"/>
      <c r="Q84" s="283"/>
      <c r="R84" s="283"/>
      <c r="S84" s="283"/>
      <c r="T84" s="283"/>
      <c r="U84" s="283"/>
      <c r="V84" s="283"/>
      <c r="W84" s="283"/>
      <c r="X84" s="283"/>
      <c r="Y84" s="283"/>
      <c r="Z84" s="283"/>
      <c r="AA84" s="284"/>
      <c r="AB84" s="284"/>
    </row>
    <row r="85" ht="33.0" customHeight="true">
      <c r="A85" s="273" t="s">
        <v>4640</v>
      </c>
      <c r="B85" s="274"/>
      <c r="C85" s="274"/>
      <c r="D85" s="274"/>
      <c r="E85" s="274"/>
      <c r="F85" s="287"/>
      <c r="G85" s="274"/>
      <c r="H85" s="274"/>
      <c r="I85" s="274"/>
      <c r="J85" s="274"/>
      <c r="K85" s="275"/>
      <c r="L85" s="276"/>
      <c r="M85" s="276"/>
      <c r="N85" s="276"/>
      <c r="O85" s="277"/>
      <c r="P85" s="277"/>
      <c r="Q85" s="277"/>
      <c r="R85" s="277"/>
      <c r="S85" s="277"/>
      <c r="T85" s="277"/>
      <c r="U85" s="277"/>
      <c r="V85" s="277"/>
      <c r="W85" s="277"/>
      <c r="X85" s="277"/>
      <c r="Y85" s="277"/>
      <c r="Z85" s="277"/>
      <c r="AA85" s="278"/>
      <c r="AB85" s="278"/>
    </row>
    <row r="86" ht="39.75" customHeight="true">
      <c r="A86" s="279" t="s">
        <v>4641</v>
      </c>
      <c r="B86" s="279" t="s">
        <v>4642</v>
      </c>
      <c r="C86" s="279" t="s">
        <v>4643</v>
      </c>
      <c r="D86" s="279" t="s">
        <v>4644</v>
      </c>
      <c r="E86" s="279" t="s">
        <v>4645</v>
      </c>
      <c r="F86" s="280" t="s">
        <v>4646</v>
      </c>
      <c r="G86" s="279" t="s">
        <v>4647</v>
      </c>
      <c r="H86" s="279" t="s">
        <v>2959</v>
      </c>
      <c r="I86" s="282"/>
      <c r="J86" s="282"/>
      <c r="K86" s="279" t="s">
        <v>225</v>
      </c>
      <c r="L86" s="282"/>
      <c r="M86" s="282"/>
      <c r="N86" s="282"/>
      <c r="O86" s="271"/>
      <c r="P86" s="271"/>
      <c r="Q86" s="271"/>
      <c r="R86" s="271"/>
      <c r="S86" s="271"/>
      <c r="T86" s="271"/>
      <c r="U86" s="271"/>
      <c r="V86" s="271"/>
      <c r="W86" s="271"/>
      <c r="X86" s="271"/>
      <c r="Y86" s="271"/>
      <c r="Z86" s="271"/>
      <c r="AA86" s="272"/>
      <c r="AB86" s="272"/>
    </row>
    <row r="87" ht="63.0" customHeight="true">
      <c r="A87" s="281" t="s">
        <v>4648</v>
      </c>
      <c r="B87" s="281" t="s">
        <v>4649</v>
      </c>
      <c r="C87" s="279" t="s">
        <v>4650</v>
      </c>
      <c r="D87" s="279" t="s">
        <v>4644</v>
      </c>
      <c r="E87" s="279" t="s">
        <v>4651</v>
      </c>
      <c r="F87" s="280" t="s">
        <v>4646</v>
      </c>
      <c r="G87" s="281" t="s">
        <v>4652</v>
      </c>
      <c r="H87" s="279" t="s">
        <v>2959</v>
      </c>
      <c r="I87" s="282"/>
      <c r="J87" s="282"/>
      <c r="K87" s="279" t="s">
        <v>225</v>
      </c>
      <c r="L87" s="282"/>
      <c r="M87" s="286"/>
      <c r="N87" s="283"/>
      <c r="O87" s="283"/>
      <c r="P87" s="283"/>
      <c r="Q87" s="283"/>
      <c r="R87" s="283"/>
      <c r="S87" s="283"/>
      <c r="T87" s="283"/>
      <c r="U87" s="283"/>
      <c r="V87" s="283"/>
      <c r="W87" s="283"/>
      <c r="X87" s="283"/>
      <c r="Y87" s="283"/>
      <c r="Z87" s="283"/>
      <c r="AA87" s="284"/>
      <c r="AB87" s="284"/>
    </row>
    <row r="88" ht="63.0" customHeight="true">
      <c r="A88" s="279" t="s">
        <v>4653</v>
      </c>
      <c r="B88" s="281" t="s">
        <v>4654</v>
      </c>
      <c r="C88" s="281" t="s">
        <v>4655</v>
      </c>
      <c r="D88" s="281" t="s">
        <v>4644</v>
      </c>
      <c r="E88" s="281" t="s">
        <v>4656</v>
      </c>
      <c r="F88" s="285" t="s">
        <v>4567</v>
      </c>
      <c r="G88" s="281" t="s">
        <v>4657</v>
      </c>
      <c r="H88" s="281" t="s">
        <v>2959</v>
      </c>
      <c r="I88" s="271"/>
      <c r="J88" s="271"/>
      <c r="K88" s="281" t="s">
        <v>225</v>
      </c>
      <c r="L88" s="271"/>
      <c r="M88" s="286"/>
      <c r="N88" s="283"/>
      <c r="O88" s="283"/>
      <c r="P88" s="283"/>
      <c r="Q88" s="283"/>
      <c r="R88" s="283"/>
      <c r="S88" s="283"/>
      <c r="T88" s="283"/>
      <c r="U88" s="283"/>
      <c r="V88" s="283"/>
      <c r="W88" s="283"/>
      <c r="X88" s="283"/>
      <c r="Y88" s="283"/>
      <c r="Z88" s="283"/>
      <c r="AA88" s="284"/>
      <c r="AB88" s="284"/>
    </row>
    <row r="89" ht="63.0" customHeight="true">
      <c r="A89" s="279" t="s">
        <v>4658</v>
      </c>
      <c r="B89" s="281" t="s">
        <v>4659</v>
      </c>
      <c r="C89" s="281" t="s">
        <v>4660</v>
      </c>
      <c r="D89" s="281" t="s">
        <v>4661</v>
      </c>
      <c r="E89" s="281" t="s">
        <v>4662</v>
      </c>
      <c r="F89" s="285" t="s">
        <v>2959</v>
      </c>
      <c r="G89" s="281" t="s">
        <v>4663</v>
      </c>
      <c r="H89" s="281" t="s">
        <v>2959</v>
      </c>
      <c r="I89" s="282"/>
      <c r="J89" s="271"/>
      <c r="K89" s="279" t="s">
        <v>225</v>
      </c>
      <c r="L89" s="271"/>
      <c r="M89" s="286"/>
      <c r="N89" s="283"/>
      <c r="O89" s="283"/>
      <c r="P89" s="283"/>
      <c r="Q89" s="283"/>
      <c r="R89" s="283"/>
      <c r="S89" s="283"/>
      <c r="T89" s="283"/>
      <c r="U89" s="283"/>
      <c r="V89" s="283"/>
      <c r="W89" s="283"/>
      <c r="X89" s="283"/>
      <c r="Y89" s="283"/>
      <c r="Z89" s="283"/>
      <c r="AA89" s="284"/>
      <c r="AB89" s="284"/>
    </row>
    <row r="90" ht="63.0" customHeight="true">
      <c r="A90" s="279" t="s">
        <v>4664</v>
      </c>
      <c r="B90" s="279" t="s">
        <v>4665</v>
      </c>
      <c r="C90" s="279" t="s">
        <v>4666</v>
      </c>
      <c r="D90" s="279" t="s">
        <v>4667</v>
      </c>
      <c r="E90" s="279" t="s">
        <v>4668</v>
      </c>
      <c r="F90" s="280" t="s">
        <v>2959</v>
      </c>
      <c r="G90" s="281" t="s">
        <v>4669</v>
      </c>
      <c r="H90" s="279" t="s">
        <v>2959</v>
      </c>
      <c r="I90" s="282"/>
      <c r="J90" s="282"/>
      <c r="K90" s="279" t="s">
        <v>225</v>
      </c>
      <c r="L90" s="282"/>
      <c r="M90" s="286"/>
      <c r="N90" s="282"/>
      <c r="O90" s="283"/>
      <c r="P90" s="283"/>
      <c r="Q90" s="283"/>
      <c r="R90" s="283"/>
      <c r="S90" s="283"/>
      <c r="T90" s="283"/>
      <c r="U90" s="283"/>
      <c r="V90" s="283"/>
      <c r="W90" s="283"/>
      <c r="X90" s="283"/>
      <c r="Y90" s="283"/>
      <c r="Z90" s="283"/>
      <c r="AA90" s="284"/>
      <c r="AB90" s="284"/>
    </row>
    <row r="91" ht="63.0" customHeight="true">
      <c r="A91" s="279" t="s">
        <v>4670</v>
      </c>
      <c r="B91" s="281" t="s">
        <v>4671</v>
      </c>
      <c r="C91" s="281" t="s">
        <v>4672</v>
      </c>
      <c r="D91" s="281" t="s">
        <v>4673</v>
      </c>
      <c r="E91" s="281" t="s">
        <v>4674</v>
      </c>
      <c r="F91" s="285" t="s">
        <v>2959</v>
      </c>
      <c r="G91" s="281" t="s">
        <v>4675</v>
      </c>
      <c r="H91" s="281" t="s">
        <v>2959</v>
      </c>
      <c r="I91" s="282"/>
      <c r="J91" s="271"/>
      <c r="K91" s="279" t="s">
        <v>225</v>
      </c>
      <c r="L91" s="271"/>
      <c r="M91" s="286"/>
      <c r="N91" s="283"/>
      <c r="O91" s="283"/>
      <c r="P91" s="283"/>
      <c r="Q91" s="283"/>
      <c r="R91" s="283"/>
      <c r="S91" s="283"/>
      <c r="T91" s="283"/>
      <c r="U91" s="283"/>
      <c r="V91" s="283"/>
      <c r="W91" s="283"/>
      <c r="X91" s="283"/>
      <c r="Y91" s="283"/>
      <c r="Z91" s="283"/>
      <c r="AA91" s="284"/>
      <c r="AB91" s="284"/>
    </row>
    <row r="92" ht="63.0" customHeight="true">
      <c r="A92" s="279" t="s">
        <v>4676</v>
      </c>
      <c r="B92" s="279" t="s">
        <v>4677</v>
      </c>
      <c r="C92" s="279" t="s">
        <v>4678</v>
      </c>
      <c r="D92" s="279" t="s">
        <v>4644</v>
      </c>
      <c r="E92" s="279" t="s">
        <v>4679</v>
      </c>
      <c r="F92" s="280" t="s">
        <v>4604</v>
      </c>
      <c r="G92" s="281" t="s">
        <v>4680</v>
      </c>
      <c r="H92" s="279" t="s">
        <v>2959</v>
      </c>
      <c r="I92" s="282"/>
      <c r="J92" s="282"/>
      <c r="K92" s="279" t="s">
        <v>225</v>
      </c>
      <c r="L92" s="282"/>
      <c r="M92" s="282"/>
      <c r="N92" s="282"/>
      <c r="O92" s="283"/>
      <c r="P92" s="283"/>
      <c r="Q92" s="283"/>
      <c r="R92" s="283"/>
      <c r="S92" s="283"/>
      <c r="T92" s="283"/>
      <c r="U92" s="283"/>
      <c r="V92" s="283"/>
      <c r="W92" s="283"/>
      <c r="X92" s="283"/>
      <c r="Y92" s="283"/>
      <c r="Z92" s="283"/>
      <c r="AA92" s="284"/>
      <c r="AB92" s="284"/>
    </row>
    <row r="93" ht="54.0" customHeight="true">
      <c r="A93" s="279" t="s">
        <v>4681</v>
      </c>
      <c r="B93" s="279" t="s">
        <v>4682</v>
      </c>
      <c r="C93" s="279" t="s">
        <v>4683</v>
      </c>
      <c r="D93" s="279" t="s">
        <v>4644</v>
      </c>
      <c r="E93" s="279" t="s">
        <v>4684</v>
      </c>
      <c r="F93" s="280" t="s">
        <v>4685</v>
      </c>
      <c r="G93" s="279" t="s">
        <v>4686</v>
      </c>
      <c r="H93" s="279" t="s">
        <v>2959</v>
      </c>
      <c r="I93" s="282"/>
      <c r="J93" s="282"/>
      <c r="K93" s="279" t="s">
        <v>227</v>
      </c>
      <c r="L93" s="282"/>
      <c r="M93" s="282"/>
      <c r="N93" s="282"/>
      <c r="O93" s="271"/>
      <c r="P93" s="271"/>
      <c r="Q93" s="271"/>
      <c r="R93" s="271"/>
      <c r="S93" s="271"/>
      <c r="T93" s="271"/>
      <c r="U93" s="271"/>
      <c r="V93" s="271"/>
      <c r="W93" s="271"/>
      <c r="X93" s="271"/>
      <c r="Y93" s="271"/>
      <c r="Z93" s="271"/>
      <c r="AA93" s="272"/>
      <c r="AB93" s="272"/>
    </row>
    <row r="94" ht="63.0" customHeight="true">
      <c r="A94" s="279" t="s">
        <v>4687</v>
      </c>
      <c r="B94" s="281" t="s">
        <v>4688</v>
      </c>
      <c r="C94" s="281" t="s">
        <v>4689</v>
      </c>
      <c r="D94" s="281" t="s">
        <v>4644</v>
      </c>
      <c r="E94" s="281" t="s">
        <v>4690</v>
      </c>
      <c r="F94" s="285" t="s">
        <v>4691</v>
      </c>
      <c r="G94" s="281" t="s">
        <v>4692</v>
      </c>
      <c r="H94" s="281" t="s">
        <v>2959</v>
      </c>
      <c r="I94" s="282"/>
      <c r="J94" s="271"/>
      <c r="K94" s="279" t="s">
        <v>227</v>
      </c>
      <c r="L94" s="271"/>
      <c r="M94" s="286"/>
      <c r="N94" s="283"/>
      <c r="O94" s="283"/>
      <c r="P94" s="283"/>
      <c r="Q94" s="283"/>
      <c r="R94" s="283"/>
      <c r="S94" s="283"/>
      <c r="T94" s="283"/>
      <c r="U94" s="283"/>
      <c r="V94" s="283"/>
      <c r="W94" s="283"/>
      <c r="X94" s="283"/>
      <c r="Y94" s="283"/>
      <c r="Z94" s="283"/>
      <c r="AA94" s="284"/>
      <c r="AB94" s="284"/>
    </row>
    <row r="95" ht="63.0" customHeight="true">
      <c r="A95" s="279" t="s">
        <v>4693</v>
      </c>
      <c r="B95" s="281" t="s">
        <v>4694</v>
      </c>
      <c r="C95" s="281" t="s">
        <v>4695</v>
      </c>
      <c r="D95" s="281" t="s">
        <v>4644</v>
      </c>
      <c r="E95" s="281" t="s">
        <v>4696</v>
      </c>
      <c r="F95" s="285" t="s">
        <v>4697</v>
      </c>
      <c r="G95" s="281" t="s">
        <v>4698</v>
      </c>
      <c r="H95" s="281" t="s">
        <v>2959</v>
      </c>
      <c r="I95" s="282"/>
      <c r="J95" s="271"/>
      <c r="K95" s="279" t="s">
        <v>227</v>
      </c>
      <c r="L95" s="271"/>
      <c r="M95" s="286"/>
      <c r="N95" s="283"/>
      <c r="O95" s="283"/>
      <c r="P95" s="283"/>
      <c r="Q95" s="283"/>
      <c r="R95" s="283"/>
      <c r="S95" s="283"/>
      <c r="T95" s="283"/>
      <c r="U95" s="283"/>
      <c r="V95" s="283"/>
      <c r="W95" s="283"/>
      <c r="X95" s="283"/>
      <c r="Y95" s="283"/>
      <c r="Z95" s="283"/>
      <c r="AA95" s="284"/>
      <c r="AB95" s="284"/>
    </row>
    <row r="96" ht="63.0" customHeight="true">
      <c r="A96" s="279" t="s">
        <v>4699</v>
      </c>
      <c r="B96" s="281" t="s">
        <v>4700</v>
      </c>
      <c r="C96" s="281" t="s">
        <v>4701</v>
      </c>
      <c r="D96" s="281" t="s">
        <v>4644</v>
      </c>
      <c r="E96" s="281" t="s">
        <v>4702</v>
      </c>
      <c r="F96" s="285" t="s">
        <v>4703</v>
      </c>
      <c r="G96" s="281" t="s">
        <v>4704</v>
      </c>
      <c r="H96" s="281" t="s">
        <v>2959</v>
      </c>
      <c r="I96" s="282"/>
      <c r="J96" s="271"/>
      <c r="K96" s="279" t="s">
        <v>227</v>
      </c>
      <c r="L96" s="271"/>
      <c r="M96" s="286"/>
      <c r="N96" s="283"/>
      <c r="O96" s="283"/>
      <c r="P96" s="283"/>
      <c r="Q96" s="283"/>
      <c r="R96" s="283"/>
      <c r="S96" s="283"/>
      <c r="T96" s="283"/>
      <c r="U96" s="283"/>
      <c r="V96" s="283"/>
      <c r="W96" s="283"/>
      <c r="X96" s="283"/>
      <c r="Y96" s="283"/>
      <c r="Z96" s="283"/>
      <c r="AA96" s="284"/>
      <c r="AB96" s="284"/>
    </row>
    <row r="97" ht="63.0" customHeight="true">
      <c r="A97" s="279" t="s">
        <v>4705</v>
      </c>
      <c r="B97" s="279" t="s">
        <v>4706</v>
      </c>
      <c r="C97" s="279" t="s">
        <v>4707</v>
      </c>
      <c r="D97" s="279" t="s">
        <v>4644</v>
      </c>
      <c r="E97" s="279" t="s">
        <v>4708</v>
      </c>
      <c r="F97" s="280" t="s">
        <v>4249</v>
      </c>
      <c r="G97" s="281" t="s">
        <v>4709</v>
      </c>
      <c r="H97" s="279" t="s">
        <v>2959</v>
      </c>
      <c r="I97" s="282"/>
      <c r="J97" s="282"/>
      <c r="K97" s="279" t="s">
        <v>227</v>
      </c>
      <c r="L97" s="282"/>
      <c r="M97" s="286"/>
      <c r="N97" s="282"/>
      <c r="O97" s="283"/>
      <c r="P97" s="283"/>
      <c r="Q97" s="283"/>
      <c r="R97" s="283"/>
      <c r="S97" s="283"/>
      <c r="T97" s="283"/>
      <c r="U97" s="283"/>
      <c r="V97" s="283"/>
      <c r="W97" s="283"/>
      <c r="X97" s="283"/>
      <c r="Y97" s="283"/>
      <c r="Z97" s="283"/>
      <c r="AA97" s="284"/>
      <c r="AB97" s="284"/>
    </row>
  </sheetData>
  <pageMargins bottom="0.75" footer="0.3" header="0.3" left="0.7" right="0.7" top="0.75"/>
</worksheet>
</file>

<file path=xl/worksheets/sheet11.xml><?xml version="1.0" encoding="utf-8"?>
<worksheet xmlns="http://schemas.openxmlformats.org/spreadsheetml/2006/main">
  <sheetPr>
    <tabColor xmlns:r="http://schemas.openxmlformats.org/officeDocument/2006/relationships" xmlns:xm="http://schemas.microsoft.com/office/excel/2006/main" xmlns:mc="http://schemas.openxmlformats.org/markup-compatibility/2006" xmlns:mv="urn:schemas-microsoft-com:mac:vml" xmlns:x14="http://schemas.microsoft.com/office/spreadsheetml/2009/9/main" xmlns:mx="http://schemas.microsoft.com/office/mac/excel/2008/main" xmlns:x15="http://schemas.microsoft.com/office/spreadsheetml/2010/11/main" xmlns:x14ac="http://schemas.microsoft.com/office/spreadsheetml/2009/9/ac" rgb="FF00FF00"/>
  </sheetPr>
  <dimension ref="A1:AA990"/>
  <sheetViews>
    <sheetView workbookViewId="0"/>
  </sheetViews>
  <sheetFormatPr defaultRowHeight="15.0"/>
  <cols>
    <col min="1" max="1" width="23.37890625" customWidth="true"/>
    <col min="2" max="2" width="25.87890625" customWidth="true"/>
    <col min="3" max="3" width="27.37890625" customWidth="true"/>
    <col min="4" max="4" width="19.62890625" customWidth="true"/>
    <col min="5" max="5" width="31.5" customWidth="true"/>
    <col min="6" max="6" width="23.62890625" customWidth="true"/>
    <col min="7" max="7" width="31.75" customWidth="true"/>
    <col min="8" max="8" width="18.5" customWidth="true"/>
    <col min="9" max="9" width="26.5" customWidth="true"/>
    <col min="10" max="10" width="15.25" customWidth="true"/>
    <col min="11" max="11" width="18.5" customWidth="true"/>
    <col min="12" max="12" width="18.5" customWidth="true"/>
    <col min="13" max="13" width="18.5" customWidth="true"/>
    <col min="14" max="14" width="18.5" customWidth="true"/>
    <col min="15" max="15" width="18.5" customWidth="true"/>
    <col min="16" max="16" width="18.5" customWidth="true"/>
    <col min="17" max="17" width="18.5" customWidth="true"/>
    <col min="18" max="18" width="18.5" customWidth="true"/>
    <col min="19" max="19" width="18.5" customWidth="true"/>
    <col min="20" max="20" width="18.5" customWidth="true"/>
    <col min="21" max="21" width="18.5" customWidth="true"/>
    <col min="22" max="22" width="18.5" customWidth="true"/>
    <col min="23" max="23" width="18.5" customWidth="true"/>
    <col min="24" max="24" width="18.5" customWidth="true"/>
    <col min="25" max="25" width="18.5" customWidth="true"/>
    <col min="26" max="26" width="18.5" customWidth="true"/>
    <col min="27" max="27" width="18.5" customWidth="true"/>
  </cols>
  <sheetData>
    <row r="1" ht="15.0" customHeight="true">
      <c r="A1" s="295" t="s">
        <v>232</v>
      </c>
      <c r="B1" s="296" t="s">
        <v>4710</v>
      </c>
      <c r="C1" s="297"/>
      <c r="D1" s="298">
        <f>COUNTIF(J16:J338, E1)/F1</f>
      </c>
      <c r="E1" s="299" t="s">
        <v>234</v>
      </c>
      <c r="F1" s="300">
        <f>COUNTIF(G16:G218 ,"&lt;&gt;")</f>
      </c>
      <c r="G1" s="301" t="s">
        <v>235</v>
      </c>
      <c r="H1" s="297"/>
      <c r="I1" s="297"/>
      <c r="J1" s="297"/>
      <c r="K1" s="297"/>
      <c r="L1" s="297"/>
      <c r="M1" s="297"/>
      <c r="N1" s="297"/>
      <c r="O1" s="297"/>
      <c r="P1" s="297"/>
      <c r="Q1" s="297"/>
      <c r="R1" s="297"/>
      <c r="S1" s="297"/>
      <c r="T1" s="297"/>
      <c r="U1" s="297"/>
      <c r="V1" s="297"/>
      <c r="W1" s="297"/>
      <c r="X1" s="297"/>
      <c r="Y1" s="297"/>
      <c r="Z1" s="297"/>
      <c r="AA1" s="297"/>
    </row>
    <row r="2" ht="15.0" customHeight="true">
      <c r="A2" s="295" t="s">
        <v>236</v>
      </c>
      <c r="B2" s="302" t="s">
        <v>4711</v>
      </c>
      <c r="C2" s="297"/>
      <c r="D2" s="303">
        <f>COUNTIF(J16:J50, E2)/F1</f>
      </c>
      <c r="E2" s="304" t="s">
        <v>238</v>
      </c>
      <c r="F2" s="305"/>
      <c r="G2" s="297"/>
      <c r="H2" s="297"/>
      <c r="I2" s="297"/>
      <c r="J2" s="297"/>
      <c r="K2" s="297"/>
      <c r="L2" s="297"/>
      <c r="M2" s="297"/>
      <c r="N2" s="297"/>
      <c r="O2" s="297"/>
      <c r="P2" s="297"/>
      <c r="Q2" s="297"/>
      <c r="R2" s="297"/>
      <c r="S2" s="297"/>
      <c r="T2" s="297"/>
      <c r="U2" s="297"/>
      <c r="V2" s="297"/>
      <c r="W2" s="297"/>
      <c r="X2" s="297"/>
      <c r="Y2" s="297"/>
      <c r="Z2" s="297"/>
      <c r="AA2" s="297"/>
    </row>
    <row r="3" ht="15.0" customHeight="true">
      <c r="A3" s="295" t="s">
        <v>241</v>
      </c>
      <c r="B3" s="306"/>
      <c r="C3" s="297"/>
      <c r="D3" s="307">
        <f>COUNTIF(J16:J50, E3)/F1</f>
      </c>
      <c r="E3" s="301" t="s">
        <v>243</v>
      </c>
      <c r="F3" s="297"/>
      <c r="G3" s="297"/>
      <c r="H3" s="297"/>
      <c r="I3" s="297"/>
      <c r="J3" s="297"/>
      <c r="K3" s="297"/>
      <c r="L3" s="297"/>
      <c r="M3" s="297"/>
      <c r="N3" s="297"/>
      <c r="O3" s="297"/>
      <c r="P3" s="297"/>
      <c r="Q3" s="297"/>
      <c r="R3" s="297"/>
      <c r="S3" s="297"/>
      <c r="T3" s="297"/>
      <c r="U3" s="297"/>
      <c r="V3" s="297"/>
      <c r="W3" s="297"/>
      <c r="X3" s="297"/>
      <c r="Y3" s="297"/>
      <c r="Z3" s="297"/>
      <c r="AA3" s="297"/>
    </row>
    <row r="4" ht="15.0" customHeight="true">
      <c r="A4" s="295" t="s">
        <v>245</v>
      </c>
      <c r="B4" s="296" t="s">
        <v>4712</v>
      </c>
      <c r="C4" s="297"/>
      <c r="D4" s="308">
        <f>SUM(D1:D3)</f>
      </c>
      <c r="E4" s="301" t="s">
        <v>247</v>
      </c>
      <c r="F4" s="297"/>
      <c r="G4" s="297"/>
      <c r="H4" s="297"/>
      <c r="I4" s="297"/>
      <c r="J4" s="297"/>
      <c r="K4" s="297"/>
      <c r="L4" s="297"/>
      <c r="M4" s="297"/>
      <c r="N4" s="297"/>
      <c r="O4" s="297"/>
      <c r="P4" s="297"/>
      <c r="Q4" s="297"/>
      <c r="R4" s="297"/>
      <c r="S4" s="297"/>
      <c r="T4" s="297"/>
      <c r="U4" s="297"/>
      <c r="V4" s="297"/>
      <c r="W4" s="297"/>
      <c r="X4" s="297"/>
      <c r="Y4" s="297"/>
      <c r="Z4" s="297"/>
      <c r="AA4" s="297"/>
    </row>
    <row r="5" ht="15.0" customHeight="true">
      <c r="A5" s="295" t="s">
        <v>248</v>
      </c>
      <c r="B5" s="309" t="n">
        <v>46217.0</v>
      </c>
      <c r="C5" s="297"/>
      <c r="D5" s="297"/>
      <c r="E5" s="297"/>
      <c r="F5" s="297"/>
      <c r="G5" s="297"/>
      <c r="H5" s="297"/>
      <c r="I5" s="297"/>
      <c r="J5" s="297"/>
      <c r="K5" s="297"/>
      <c r="L5" s="297"/>
      <c r="M5" s="297"/>
      <c r="N5" s="297"/>
      <c r="O5" s="297"/>
      <c r="P5" s="297"/>
      <c r="Q5" s="297"/>
      <c r="R5" s="297"/>
      <c r="S5" s="297"/>
      <c r="T5" s="297"/>
      <c r="U5" s="297"/>
      <c r="V5" s="297"/>
      <c r="W5" s="297"/>
      <c r="X5" s="297"/>
      <c r="Y5" s="297"/>
      <c r="Z5" s="297"/>
      <c r="AA5" s="297"/>
    </row>
    <row r="6" ht="15.0" customHeight="true">
      <c r="A6" s="295" t="s">
        <v>249</v>
      </c>
      <c r="B6" s="310"/>
      <c r="C6" s="297"/>
      <c r="D6" s="297"/>
      <c r="E6" s="297"/>
      <c r="F6" s="297"/>
      <c r="G6" s="297"/>
      <c r="H6" s="297"/>
      <c r="I6" s="297"/>
      <c r="J6" s="297"/>
      <c r="K6" s="297"/>
      <c r="L6" s="297"/>
      <c r="M6" s="297"/>
      <c r="N6" s="297"/>
      <c r="O6" s="297"/>
      <c r="P6" s="297"/>
      <c r="Q6" s="297"/>
      <c r="R6" s="297"/>
      <c r="S6" s="297"/>
      <c r="T6" s="297"/>
      <c r="U6" s="297"/>
      <c r="V6" s="297"/>
      <c r="W6" s="297"/>
      <c r="X6" s="297"/>
      <c r="Y6" s="297"/>
      <c r="Z6" s="297"/>
      <c r="AA6" s="297"/>
    </row>
    <row r="7" ht="15.0" customHeight="true">
      <c r="A7" s="311" t="s">
        <v>252</v>
      </c>
      <c r="B7" s="311" t="s">
        <v>253</v>
      </c>
      <c r="C7" s="311" t="s">
        <v>254</v>
      </c>
      <c r="D7" s="311" t="s">
        <v>255</v>
      </c>
      <c r="E7" s="311" t="s">
        <v>256</v>
      </c>
      <c r="F7" s="311" t="s">
        <v>257</v>
      </c>
      <c r="G7" s="311" t="s">
        <v>258</v>
      </c>
      <c r="H7" s="311" t="s">
        <v>259</v>
      </c>
      <c r="I7" s="311" t="s">
        <v>260</v>
      </c>
      <c r="J7" s="311" t="s">
        <v>3180</v>
      </c>
      <c r="K7" s="311" t="s">
        <v>3181</v>
      </c>
      <c r="L7" s="311" t="s">
        <v>3182</v>
      </c>
      <c r="M7" s="311" t="s">
        <v>3183</v>
      </c>
      <c r="N7" s="311" t="s">
        <v>262</v>
      </c>
      <c r="O7" s="311" t="s">
        <v>3184</v>
      </c>
      <c r="P7" s="311" t="s">
        <v>728</v>
      </c>
      <c r="Q7" s="311" t="s">
        <v>3185</v>
      </c>
      <c r="R7" s="311" t="s">
        <v>3186</v>
      </c>
      <c r="S7" s="311" t="s">
        <v>3187</v>
      </c>
      <c r="T7" s="311" t="s">
        <v>3188</v>
      </c>
      <c r="U7" s="312"/>
      <c r="V7" s="312"/>
      <c r="W7" s="312"/>
      <c r="X7" s="312"/>
      <c r="Y7" s="312"/>
      <c r="Z7" s="312"/>
      <c r="AA7" s="297"/>
    </row>
    <row r="8" ht="48.75" customHeight="true">
      <c r="A8" s="313">
        <f>IF(B:B&lt;&gt;"",("TC_OTHER_REF_SET_"&amp;CONCATENATE("00",ROW()-7)),"")</f>
      </c>
      <c r="B8" s="314" t="s">
        <v>4713</v>
      </c>
      <c r="C8" s="314" t="s">
        <v>4714</v>
      </c>
      <c r="D8" s="314" t="s">
        <v>4715</v>
      </c>
      <c r="E8" s="314" t="s">
        <v>4716</v>
      </c>
      <c r="F8" s="315"/>
      <c r="G8" s="314" t="s">
        <v>4717</v>
      </c>
      <c r="H8" s="297"/>
      <c r="I8" s="314" t="s">
        <v>4717</v>
      </c>
      <c r="J8" s="314" t="s">
        <v>234</v>
      </c>
      <c r="K8" s="297"/>
      <c r="L8" s="297"/>
      <c r="M8" s="316" t="s">
        <v>3199</v>
      </c>
      <c r="N8" s="317" t="s">
        <v>926</v>
      </c>
      <c r="O8" s="318" t="n">
        <v>46206.0</v>
      </c>
      <c r="P8" s="297"/>
      <c r="Q8" s="297"/>
      <c r="R8" s="297"/>
      <c r="S8" s="297"/>
      <c r="T8" s="297"/>
      <c r="U8" s="297"/>
      <c r="V8" s="297"/>
      <c r="W8" s="297"/>
      <c r="X8" s="297"/>
      <c r="Y8" s="297"/>
      <c r="Z8" s="297"/>
      <c r="AA8" s="297"/>
    </row>
    <row r="9" ht="90.0" customHeight="true">
      <c r="A9" s="313">
        <f>IF(B:B&lt;&gt;"",("TC_OTHER_REF_SET_"&amp;CONCATENATE("00",ROW()-7)),"")</f>
      </c>
      <c r="B9" s="314" t="s">
        <v>4718</v>
      </c>
      <c r="C9" s="314" t="s">
        <v>4719</v>
      </c>
      <c r="D9" s="314" t="s">
        <v>4720</v>
      </c>
      <c r="E9" s="314" t="s">
        <v>4721</v>
      </c>
      <c r="F9" s="314" t="s">
        <v>4722</v>
      </c>
      <c r="G9" s="314" t="s">
        <v>4723</v>
      </c>
      <c r="H9" s="297"/>
      <c r="I9" s="314" t="s">
        <v>4723</v>
      </c>
      <c r="J9" s="314" t="s">
        <v>234</v>
      </c>
      <c r="K9" s="297"/>
      <c r="L9" s="297"/>
      <c r="M9" s="316" t="s">
        <v>3199</v>
      </c>
      <c r="N9" s="317" t="s">
        <v>926</v>
      </c>
      <c r="O9" s="318" t="n">
        <v>46206.0</v>
      </c>
      <c r="P9" s="319"/>
      <c r="Q9" s="319"/>
      <c r="R9" s="319"/>
      <c r="S9" s="319"/>
      <c r="T9" s="319"/>
      <c r="U9" s="319"/>
      <c r="V9" s="319"/>
      <c r="W9" s="319"/>
      <c r="X9" s="319"/>
      <c r="Y9" s="319"/>
      <c r="Z9" s="319"/>
      <c r="AA9" s="319"/>
    </row>
    <row r="10" ht="90.0" customHeight="true">
      <c r="A10" s="313">
        <f>IF(B:B&lt;&gt;"",("TC_OTHER_REF_SET_"&amp;CONCATENATE("00",ROW()-7)),"")</f>
      </c>
      <c r="B10" s="314" t="s">
        <v>4724</v>
      </c>
      <c r="C10" s="314" t="s">
        <v>4725</v>
      </c>
      <c r="D10" s="314" t="s">
        <v>4726</v>
      </c>
      <c r="E10" s="314" t="s">
        <v>4721</v>
      </c>
      <c r="F10" s="314" t="s">
        <v>4722</v>
      </c>
      <c r="G10" s="314" t="s">
        <v>4727</v>
      </c>
      <c r="H10" s="297"/>
      <c r="I10" s="314" t="s">
        <v>4727</v>
      </c>
      <c r="J10" s="314" t="s">
        <v>234</v>
      </c>
      <c r="K10" s="297"/>
      <c r="L10" s="297"/>
      <c r="M10" s="316" t="s">
        <v>3199</v>
      </c>
      <c r="N10" s="317" t="s">
        <v>926</v>
      </c>
      <c r="O10" s="318" t="n">
        <v>46206.0</v>
      </c>
      <c r="P10" s="319"/>
      <c r="Q10" s="319"/>
      <c r="R10" s="319"/>
      <c r="S10" s="319"/>
      <c r="T10" s="319"/>
      <c r="U10" s="319"/>
      <c r="V10" s="319"/>
      <c r="W10" s="319"/>
      <c r="X10" s="319"/>
      <c r="Y10" s="319"/>
      <c r="Z10" s="319"/>
      <c r="AA10" s="319"/>
    </row>
    <row r="11" ht="47.25" customHeight="true">
      <c r="A11" s="313">
        <f>IF(B:B&lt;&gt;"",("TC_OTHER_REF_SET_"&amp;CONCATENATE("00",ROW()-7)),"")</f>
      </c>
      <c r="B11" s="314" t="s">
        <v>4728</v>
      </c>
      <c r="C11" s="314" t="s">
        <v>4729</v>
      </c>
      <c r="D11" s="314" t="s">
        <v>4730</v>
      </c>
      <c r="E11" s="314" t="s">
        <v>4731</v>
      </c>
      <c r="F11" s="314" t="s">
        <v>4732</v>
      </c>
      <c r="G11" s="314" t="s">
        <v>4733</v>
      </c>
      <c r="H11" s="297"/>
      <c r="I11" s="314" t="s">
        <v>4733</v>
      </c>
      <c r="J11" s="314" t="s">
        <v>234</v>
      </c>
      <c r="K11" s="297"/>
      <c r="L11" s="297"/>
      <c r="M11" s="316" t="s">
        <v>3199</v>
      </c>
      <c r="N11" s="317" t="s">
        <v>926</v>
      </c>
      <c r="O11" s="318" t="n">
        <v>46206.0</v>
      </c>
      <c r="P11" s="319"/>
      <c r="Q11" s="319"/>
      <c r="R11" s="319"/>
      <c r="S11" s="319"/>
      <c r="T11" s="319"/>
      <c r="U11" s="319"/>
      <c r="V11" s="319"/>
      <c r="W11" s="319"/>
      <c r="X11" s="319"/>
      <c r="Y11" s="319"/>
      <c r="Z11" s="319"/>
      <c r="AA11" s="319"/>
    </row>
    <row r="12" ht="46.5" customHeight="true">
      <c r="A12" s="313">
        <f>IF(B:B&lt;&gt;"",("TC_OTHER_REF_SET_"&amp;CONCATENATE("00",ROW()-7)),"")</f>
      </c>
      <c r="B12" s="314" t="s">
        <v>4734</v>
      </c>
      <c r="C12" s="314" t="s">
        <v>4735</v>
      </c>
      <c r="D12" s="314" t="s">
        <v>4736</v>
      </c>
      <c r="E12" s="314" t="s">
        <v>4737</v>
      </c>
      <c r="F12" s="314" t="s">
        <v>4738</v>
      </c>
      <c r="G12" s="314" t="s">
        <v>4739</v>
      </c>
      <c r="H12" s="297"/>
      <c r="I12" s="314" t="s">
        <v>4739</v>
      </c>
      <c r="J12" s="314" t="s">
        <v>234</v>
      </c>
      <c r="K12" s="297"/>
      <c r="L12" s="297"/>
      <c r="M12" s="316" t="s">
        <v>3199</v>
      </c>
      <c r="N12" s="317" t="s">
        <v>926</v>
      </c>
      <c r="O12" s="318" t="n">
        <v>46206.0</v>
      </c>
      <c r="P12" s="319"/>
      <c r="Q12" s="319"/>
      <c r="R12" s="319"/>
      <c r="S12" s="319"/>
      <c r="T12" s="319"/>
      <c r="U12" s="319"/>
      <c r="V12" s="319"/>
      <c r="W12" s="319"/>
      <c r="X12" s="319"/>
      <c r="Y12" s="319"/>
      <c r="Z12" s="319"/>
      <c r="AA12" s="319"/>
    </row>
    <row r="13" ht="47.25" customHeight="true">
      <c r="A13" s="313">
        <f>IF(B:B&lt;&gt;"",("TC_OTHER_REF_SET_"&amp;CONCATENATE("00",ROW()-7)),"")</f>
      </c>
      <c r="B13" s="314" t="s">
        <v>4740</v>
      </c>
      <c r="C13" s="314" t="s">
        <v>4741</v>
      </c>
      <c r="D13" s="314" t="s">
        <v>4742</v>
      </c>
      <c r="E13" s="314" t="s">
        <v>4743</v>
      </c>
      <c r="F13" s="314" t="s">
        <v>4744</v>
      </c>
      <c r="G13" s="314" t="s">
        <v>4745</v>
      </c>
      <c r="H13" s="297"/>
      <c r="I13" s="314" t="s">
        <v>4745</v>
      </c>
      <c r="J13" s="314" t="s">
        <v>234</v>
      </c>
      <c r="K13" s="297"/>
      <c r="L13" s="297"/>
      <c r="M13" s="316" t="s">
        <v>3199</v>
      </c>
      <c r="N13" s="317" t="s">
        <v>926</v>
      </c>
      <c r="O13" s="318" t="n">
        <v>46206.0</v>
      </c>
      <c r="P13" s="319"/>
      <c r="Q13" s="319"/>
      <c r="R13" s="319"/>
      <c r="S13" s="319"/>
      <c r="T13" s="319"/>
      <c r="U13" s="319"/>
      <c r="V13" s="319"/>
      <c r="W13" s="319"/>
      <c r="X13" s="319"/>
      <c r="Y13" s="319"/>
      <c r="Z13" s="319"/>
      <c r="AA13" s="319"/>
    </row>
    <row r="14" ht="51.75" customHeight="true">
      <c r="A14" s="313">
        <f>IF(B:B&lt;&gt;"",("TC_OTHER_REF_SET_"&amp;CONCATENATE("00",ROW()-7)),"")</f>
      </c>
      <c r="B14" s="314" t="s">
        <v>4746</v>
      </c>
      <c r="C14" s="314" t="s">
        <v>4747</v>
      </c>
      <c r="D14" s="314" t="s">
        <v>4748</v>
      </c>
      <c r="E14" s="314" t="s">
        <v>4749</v>
      </c>
      <c r="F14" s="314" t="s">
        <v>4750</v>
      </c>
      <c r="G14" s="314" t="s">
        <v>4751</v>
      </c>
      <c r="H14" s="297"/>
      <c r="I14" s="314" t="s">
        <v>4751</v>
      </c>
      <c r="J14" s="314" t="s">
        <v>234</v>
      </c>
      <c r="K14" s="297"/>
      <c r="L14" s="297"/>
      <c r="M14" s="316" t="s">
        <v>3199</v>
      </c>
      <c r="N14" s="317" t="s">
        <v>926</v>
      </c>
      <c r="O14" s="320" t="n">
        <v>46206.0</v>
      </c>
      <c r="P14" s="297"/>
      <c r="Q14" s="297"/>
      <c r="R14" s="297"/>
      <c r="S14" s="297"/>
      <c r="T14" s="297"/>
      <c r="U14" s="297"/>
      <c r="V14" s="297"/>
      <c r="W14" s="297"/>
      <c r="X14" s="297"/>
      <c r="Y14" s="297"/>
      <c r="Z14" s="321"/>
      <c r="AA14" s="319"/>
    </row>
    <row r="15" ht="49.5" customHeight="true">
      <c r="A15" s="313">
        <f>IF(B:B&lt;&gt;"",("TC_OTHER_REF_SET_"&amp;CONCATENATE("00",ROW()-7)),"")</f>
      </c>
      <c r="B15" s="314" t="s">
        <v>4752</v>
      </c>
      <c r="C15" s="314" t="s">
        <v>4753</v>
      </c>
      <c r="D15" s="314" t="s">
        <v>4754</v>
      </c>
      <c r="E15" s="313" t="s">
        <v>4755</v>
      </c>
      <c r="F15" s="313" t="s">
        <v>2959</v>
      </c>
      <c r="G15" s="314" t="s">
        <v>4756</v>
      </c>
      <c r="H15" s="297"/>
      <c r="I15" s="314" t="s">
        <v>4756</v>
      </c>
      <c r="J15" s="322" t="s">
        <v>234</v>
      </c>
      <c r="K15" s="313" t="s">
        <v>225</v>
      </c>
      <c r="L15" s="297"/>
      <c r="M15" s="316" t="s">
        <v>3199</v>
      </c>
      <c r="N15" s="323"/>
      <c r="O15" s="297"/>
      <c r="P15" s="297"/>
      <c r="Q15" s="297"/>
      <c r="R15" s="297"/>
      <c r="S15" s="297"/>
      <c r="T15" s="297"/>
      <c r="U15" s="297"/>
      <c r="V15" s="297"/>
      <c r="W15" s="297"/>
      <c r="X15" s="297"/>
      <c r="Y15" s="297"/>
      <c r="Z15" s="297"/>
      <c r="AA15" s="319"/>
    </row>
    <row r="16" ht="15.0" customHeight="true">
      <c r="A16" s="313">
        <f>IF(B:B&lt;&gt;"",("TC_OTHER_REF_SET_"&amp;CONCATENATE("00",ROW()-7)),"")</f>
      </c>
      <c r="B16" s="313" t="s">
        <v>4757</v>
      </c>
      <c r="C16" s="313" t="s">
        <v>4758</v>
      </c>
      <c r="D16" s="313" t="s">
        <v>4754</v>
      </c>
      <c r="E16" s="313" t="s">
        <v>4759</v>
      </c>
      <c r="F16" s="313" t="s">
        <v>4760</v>
      </c>
      <c r="G16" s="313" t="s">
        <v>4761</v>
      </c>
      <c r="H16" s="297"/>
      <c r="I16" s="313" t="s">
        <v>4761</v>
      </c>
      <c r="J16" s="322" t="s">
        <v>234</v>
      </c>
      <c r="K16" s="313" t="s">
        <v>225</v>
      </c>
      <c r="L16" s="297"/>
      <c r="M16" s="324" t="s">
        <v>3199</v>
      </c>
      <c r="N16" s="297"/>
      <c r="O16" s="297"/>
      <c r="P16" s="297"/>
      <c r="Q16" s="297"/>
      <c r="R16" s="297"/>
      <c r="S16" s="297"/>
      <c r="T16" s="297"/>
      <c r="U16" s="297"/>
      <c r="V16" s="297"/>
      <c r="W16" s="297"/>
      <c r="X16" s="297"/>
      <c r="Y16" s="297"/>
      <c r="Z16" s="297"/>
      <c r="AA16" s="319"/>
    </row>
    <row r="17" ht="15.0" customHeight="true">
      <c r="A17" s="313">
        <f>IF(B:B&lt;&gt;"",("TC_OTHER_REF_SET_"&amp;CONCATENATE("00",ROW()-7)),"")</f>
      </c>
      <c r="B17" s="313" t="s">
        <v>4762</v>
      </c>
      <c r="C17" s="313" t="s">
        <v>4763</v>
      </c>
      <c r="D17" s="313" t="s">
        <v>4764</v>
      </c>
      <c r="E17" s="313" t="s">
        <v>4765</v>
      </c>
      <c r="F17" s="313" t="s">
        <v>4766</v>
      </c>
      <c r="G17" s="313" t="s">
        <v>4767</v>
      </c>
      <c r="H17" s="297"/>
      <c r="I17" s="313" t="s">
        <v>4767</v>
      </c>
      <c r="J17" s="322" t="s">
        <v>234</v>
      </c>
      <c r="K17" s="313" t="s">
        <v>227</v>
      </c>
      <c r="L17" s="297"/>
      <c r="M17" s="324" t="s">
        <v>3199</v>
      </c>
      <c r="N17" s="297"/>
      <c r="O17" s="297"/>
      <c r="P17" s="297"/>
      <c r="Q17" s="297"/>
      <c r="R17" s="297"/>
      <c r="S17" s="297"/>
      <c r="T17" s="297"/>
      <c r="U17" s="297"/>
      <c r="V17" s="297"/>
      <c r="W17" s="297"/>
      <c r="X17" s="297"/>
      <c r="Y17" s="297"/>
      <c r="Z17" s="297"/>
      <c r="AA17" s="319"/>
    </row>
    <row r="18" ht="15.0" customHeight="true">
      <c r="A18" s="313">
        <f>IF(B:B&lt;&gt;"",("TC_OTHER_REF_SET_"&amp;CONCATENATE("00",ROW()-7)),"")</f>
      </c>
      <c r="B18" s="313" t="s">
        <v>4768</v>
      </c>
      <c r="C18" s="313" t="s">
        <v>4769</v>
      </c>
      <c r="D18" s="313" t="s">
        <v>4764</v>
      </c>
      <c r="E18" s="313" t="s">
        <v>4770</v>
      </c>
      <c r="F18" s="313" t="s">
        <v>4771</v>
      </c>
      <c r="G18" s="313" t="s">
        <v>4772</v>
      </c>
      <c r="H18" s="297"/>
      <c r="I18" s="313" t="s">
        <v>4772</v>
      </c>
      <c r="J18" s="322" t="s">
        <v>234</v>
      </c>
      <c r="K18" s="313" t="s">
        <v>225</v>
      </c>
      <c r="L18" s="297"/>
      <c r="M18" s="324" t="s">
        <v>3199</v>
      </c>
      <c r="N18" s="297"/>
      <c r="O18" s="297"/>
      <c r="P18" s="297"/>
      <c r="Q18" s="297"/>
      <c r="R18" s="297"/>
      <c r="S18" s="297"/>
      <c r="T18" s="297"/>
      <c r="U18" s="297"/>
      <c r="V18" s="297"/>
      <c r="W18" s="297"/>
      <c r="X18" s="297"/>
      <c r="Y18" s="297"/>
      <c r="Z18" s="297"/>
      <c r="AA18" s="319"/>
    </row>
    <row r="19" ht="15.0" customHeight="true">
      <c r="A19" s="313">
        <f>IF(B:B&lt;&gt;"",("TC_OTHER_REF_SET_"&amp;CONCATENATE("00",ROW()-7)),"")</f>
      </c>
      <c r="B19" s="313" t="s">
        <v>4773</v>
      </c>
      <c r="C19" s="313" t="s">
        <v>4774</v>
      </c>
      <c r="D19" s="313" t="s">
        <v>4764</v>
      </c>
      <c r="E19" s="313" t="s">
        <v>4775</v>
      </c>
      <c r="F19" s="313" t="s">
        <v>4776</v>
      </c>
      <c r="G19" s="313" t="s">
        <v>4777</v>
      </c>
      <c r="H19" s="297"/>
      <c r="I19" s="313" t="s">
        <v>4777</v>
      </c>
      <c r="J19" s="322" t="s">
        <v>234</v>
      </c>
      <c r="K19" s="313" t="s">
        <v>227</v>
      </c>
      <c r="L19" s="297"/>
      <c r="M19" s="324" t="s">
        <v>3199</v>
      </c>
      <c r="N19" s="297"/>
      <c r="O19" s="297"/>
      <c r="P19" s="297"/>
      <c r="Q19" s="297"/>
      <c r="R19" s="297"/>
      <c r="S19" s="297"/>
      <c r="T19" s="297"/>
      <c r="U19" s="297"/>
      <c r="V19" s="297"/>
      <c r="W19" s="297"/>
      <c r="X19" s="297"/>
      <c r="Y19" s="297"/>
      <c r="Z19" s="297"/>
      <c r="AA19" s="319"/>
    </row>
    <row r="20" ht="15.0" customHeight="true">
      <c r="A20" s="313">
        <f>IF(B:B&lt;&gt;"",("TC_OTHER_REF_SET_"&amp;CONCATENATE("00",ROW()-7)),"")</f>
      </c>
      <c r="B20" s="313" t="s">
        <v>4778</v>
      </c>
      <c r="C20" s="313" t="s">
        <v>4779</v>
      </c>
      <c r="D20" s="313" t="s">
        <v>4764</v>
      </c>
      <c r="E20" s="313" t="s">
        <v>4780</v>
      </c>
      <c r="F20" s="313" t="s">
        <v>4781</v>
      </c>
      <c r="G20" s="313" t="s">
        <v>4782</v>
      </c>
      <c r="H20" s="297"/>
      <c r="I20" s="313" t="s">
        <v>4782</v>
      </c>
      <c r="J20" s="322" t="s">
        <v>234</v>
      </c>
      <c r="K20" s="313" t="s">
        <v>227</v>
      </c>
      <c r="L20" s="297"/>
      <c r="M20" s="324" t="s">
        <v>3199</v>
      </c>
      <c r="N20" s="297"/>
      <c r="O20" s="297"/>
      <c r="P20" s="297"/>
      <c r="Q20" s="297"/>
      <c r="R20" s="297"/>
      <c r="S20" s="297"/>
      <c r="T20" s="297"/>
      <c r="U20" s="297"/>
      <c r="V20" s="297"/>
      <c r="W20" s="297"/>
      <c r="X20" s="297"/>
      <c r="Y20" s="297"/>
      <c r="Z20" s="297"/>
      <c r="AA20" s="319"/>
    </row>
    <row r="21" ht="15.0" customHeight="true">
      <c r="A21" s="313">
        <f>IF(B:B&lt;&gt;"",("TC_OTHER_REF_SET_"&amp;CONCATENATE("00",ROW()-7)),"")</f>
      </c>
      <c r="B21" s="313" t="s">
        <v>4783</v>
      </c>
      <c r="C21" s="313" t="s">
        <v>4784</v>
      </c>
      <c r="D21" s="313" t="s">
        <v>4785</v>
      </c>
      <c r="E21" s="313" t="s">
        <v>4786</v>
      </c>
      <c r="F21" s="313" t="s">
        <v>4787</v>
      </c>
      <c r="G21" s="313" t="s">
        <v>4788</v>
      </c>
      <c r="H21" s="297"/>
      <c r="I21" s="313" t="s">
        <v>4788</v>
      </c>
      <c r="J21" s="322" t="s">
        <v>234</v>
      </c>
      <c r="K21" s="313" t="s">
        <v>227</v>
      </c>
      <c r="L21" s="297"/>
      <c r="M21" s="324" t="s">
        <v>3199</v>
      </c>
      <c r="N21" s="297"/>
      <c r="O21" s="297"/>
      <c r="P21" s="297"/>
      <c r="Q21" s="297"/>
      <c r="R21" s="297"/>
      <c r="S21" s="297"/>
      <c r="T21" s="297"/>
      <c r="U21" s="297"/>
      <c r="V21" s="297"/>
      <c r="W21" s="297"/>
      <c r="X21" s="297"/>
      <c r="Y21" s="297"/>
      <c r="Z21" s="297"/>
      <c r="AA21" s="319"/>
    </row>
    <row r="22" ht="15.0" customHeight="true">
      <c r="A22" s="313">
        <f>IF(B:B&lt;&gt;"",("TC_OTHER_REF_SET_"&amp;CONCATENATE("00",ROW()-7)),"")</f>
      </c>
      <c r="B22" s="313" t="s">
        <v>4789</v>
      </c>
      <c r="C22" s="313" t="s">
        <v>4790</v>
      </c>
      <c r="D22" s="313" t="s">
        <v>4764</v>
      </c>
      <c r="E22" s="313" t="s">
        <v>4791</v>
      </c>
      <c r="F22" s="313" t="s">
        <v>4792</v>
      </c>
      <c r="G22" s="313" t="s">
        <v>4793</v>
      </c>
      <c r="H22" s="297"/>
      <c r="I22" s="313" t="s">
        <v>4793</v>
      </c>
      <c r="J22" s="322" t="s">
        <v>234</v>
      </c>
      <c r="K22" s="313" t="s">
        <v>225</v>
      </c>
      <c r="L22" s="297"/>
      <c r="M22" s="324" t="s">
        <v>3199</v>
      </c>
      <c r="N22" s="297"/>
      <c r="O22" s="297"/>
      <c r="P22" s="297"/>
      <c r="Q22" s="297"/>
      <c r="R22" s="297"/>
      <c r="S22" s="297"/>
      <c r="T22" s="297"/>
      <c r="U22" s="297"/>
      <c r="V22" s="297"/>
      <c r="W22" s="297"/>
      <c r="X22" s="297"/>
      <c r="Y22" s="297"/>
      <c r="Z22" s="297"/>
      <c r="AA22" s="319"/>
    </row>
    <row r="23" ht="15.0" customHeight="true">
      <c r="A23" s="313">
        <f>IF(B:B&lt;&gt;"",("TC_OTHER_REF_SET_"&amp;CONCATENATE("00",ROW()-7)),"")</f>
      </c>
      <c r="B23" s="313" t="s">
        <v>4794</v>
      </c>
      <c r="C23" s="313" t="s">
        <v>4795</v>
      </c>
      <c r="D23" s="313" t="s">
        <v>4796</v>
      </c>
      <c r="E23" s="313" t="s">
        <v>4797</v>
      </c>
      <c r="F23" s="313" t="s">
        <v>2959</v>
      </c>
      <c r="G23" s="313" t="s">
        <v>4798</v>
      </c>
      <c r="H23" s="297"/>
      <c r="I23" s="313" t="s">
        <v>4798</v>
      </c>
      <c r="J23" s="322" t="s">
        <v>234</v>
      </c>
      <c r="K23" s="313" t="s">
        <v>227</v>
      </c>
      <c r="L23" s="297"/>
      <c r="M23" s="324" t="s">
        <v>3199</v>
      </c>
      <c r="N23" s="297"/>
      <c r="O23" s="297"/>
      <c r="P23" s="297"/>
      <c r="Q23" s="297"/>
      <c r="R23" s="297"/>
      <c r="S23" s="297"/>
      <c r="T23" s="297"/>
      <c r="U23" s="297"/>
      <c r="V23" s="297"/>
      <c r="W23" s="297"/>
      <c r="X23" s="297"/>
      <c r="Y23" s="297"/>
      <c r="Z23" s="297"/>
      <c r="AA23" s="319"/>
    </row>
    <row r="24" ht="15.0" customHeight="true">
      <c r="A24" s="313">
        <f>IF(B:B&lt;&gt;"",("TC_OTHER_REF_SET_"&amp;CONCATENATE("00",ROW()-7)),"")</f>
      </c>
      <c r="B24" s="313" t="s">
        <v>4799</v>
      </c>
      <c r="C24" s="313" t="s">
        <v>4800</v>
      </c>
      <c r="D24" s="313" t="s">
        <v>4796</v>
      </c>
      <c r="E24" s="313" t="s">
        <v>4801</v>
      </c>
      <c r="F24" s="313" t="s">
        <v>4802</v>
      </c>
      <c r="G24" s="313" t="s">
        <v>4803</v>
      </c>
      <c r="H24" s="297"/>
      <c r="I24" s="313" t="s">
        <v>4803</v>
      </c>
      <c r="J24" s="322" t="s">
        <v>234</v>
      </c>
      <c r="K24" s="313" t="s">
        <v>225</v>
      </c>
      <c r="L24" s="297"/>
      <c r="M24" s="324" t="s">
        <v>3199</v>
      </c>
      <c r="N24" s="297"/>
      <c r="O24" s="297"/>
      <c r="P24" s="297"/>
      <c r="Q24" s="297"/>
      <c r="R24" s="297"/>
      <c r="S24" s="297"/>
      <c r="T24" s="297"/>
      <c r="U24" s="297"/>
      <c r="V24" s="297"/>
      <c r="W24" s="297"/>
      <c r="X24" s="297"/>
      <c r="Y24" s="297"/>
      <c r="Z24" s="297"/>
      <c r="AA24" s="319"/>
    </row>
    <row r="25" ht="15.0" customHeight="true">
      <c r="A25" s="313">
        <f>IF(B:B&lt;&gt;"",("TC_OTHER_REF_SET_"&amp;CONCATENATE("00",ROW()-7)),"")</f>
      </c>
      <c r="B25" s="313" t="s">
        <v>4804</v>
      </c>
      <c r="C25" s="313" t="s">
        <v>4805</v>
      </c>
      <c r="D25" s="313" t="s">
        <v>4796</v>
      </c>
      <c r="E25" s="313" t="s">
        <v>4806</v>
      </c>
      <c r="F25" s="313" t="s">
        <v>2959</v>
      </c>
      <c r="G25" s="313" t="s">
        <v>4793</v>
      </c>
      <c r="H25" s="297"/>
      <c r="I25" s="313" t="s">
        <v>4793</v>
      </c>
      <c r="J25" s="322" t="s">
        <v>234</v>
      </c>
      <c r="K25" s="313" t="s">
        <v>227</v>
      </c>
      <c r="L25" s="297"/>
      <c r="M25" s="324" t="s">
        <v>3199</v>
      </c>
      <c r="N25" s="297"/>
      <c r="O25" s="297"/>
      <c r="P25" s="297"/>
      <c r="Q25" s="297"/>
      <c r="R25" s="297"/>
      <c r="S25" s="297"/>
      <c r="T25" s="297"/>
      <c r="U25" s="297"/>
      <c r="V25" s="297"/>
      <c r="W25" s="297"/>
      <c r="X25" s="297"/>
      <c r="Y25" s="297"/>
      <c r="Z25" s="297"/>
      <c r="AA25" s="319"/>
    </row>
    <row r="26" ht="15.0" customHeight="true">
      <c r="A26" s="313">
        <f>IF(B:B&lt;&gt;"",("TC_OTHER_REF_SET_"&amp;CONCATENATE("00",ROW()-7)),"")</f>
      </c>
      <c r="B26" s="313" t="s">
        <v>4807</v>
      </c>
      <c r="C26" s="313" t="s">
        <v>4808</v>
      </c>
      <c r="D26" s="313" t="s">
        <v>4764</v>
      </c>
      <c r="E26" s="313" t="s">
        <v>4809</v>
      </c>
      <c r="F26" s="313" t="s">
        <v>4810</v>
      </c>
      <c r="G26" s="313" t="s">
        <v>4811</v>
      </c>
      <c r="H26" s="297"/>
      <c r="I26" s="313" t="s">
        <v>4811</v>
      </c>
      <c r="J26" s="322" t="s">
        <v>234</v>
      </c>
      <c r="K26" s="313" t="s">
        <v>225</v>
      </c>
      <c r="L26" s="297"/>
      <c r="M26" s="324" t="s">
        <v>3199</v>
      </c>
      <c r="N26" s="297"/>
      <c r="O26" s="297"/>
      <c r="P26" s="297"/>
      <c r="Q26" s="297"/>
      <c r="R26" s="297"/>
      <c r="S26" s="297"/>
      <c r="T26" s="297"/>
      <c r="U26" s="297"/>
      <c r="V26" s="297"/>
      <c r="W26" s="297"/>
      <c r="X26" s="297"/>
      <c r="Y26" s="297"/>
      <c r="Z26" s="297"/>
      <c r="AA26" s="319"/>
    </row>
    <row r="27" ht="15.0" customHeight="true">
      <c r="A27" s="313">
        <f>IF(B:B&lt;&gt;"",("TC_OTHER_REF_SET_"&amp;CONCATENATE("00",ROW()-7)),"")</f>
      </c>
      <c r="B27" s="313" t="s">
        <v>4812</v>
      </c>
      <c r="C27" s="313" t="s">
        <v>4813</v>
      </c>
      <c r="D27" s="313" t="s">
        <v>4764</v>
      </c>
      <c r="E27" s="313" t="s">
        <v>4814</v>
      </c>
      <c r="F27" s="313" t="s">
        <v>4815</v>
      </c>
      <c r="G27" s="313" t="s">
        <v>4816</v>
      </c>
      <c r="H27" s="297"/>
      <c r="I27" s="313" t="s">
        <v>4816</v>
      </c>
      <c r="J27" s="322" t="s">
        <v>234</v>
      </c>
      <c r="K27" s="313" t="s">
        <v>225</v>
      </c>
      <c r="L27" s="297"/>
      <c r="M27" s="324" t="s">
        <v>3199</v>
      </c>
      <c r="N27" s="297"/>
      <c r="O27" s="297"/>
      <c r="P27" s="297"/>
      <c r="Q27" s="297"/>
      <c r="R27" s="297"/>
      <c r="S27" s="297"/>
      <c r="T27" s="297"/>
      <c r="U27" s="297"/>
      <c r="V27" s="297"/>
      <c r="W27" s="297"/>
      <c r="X27" s="297"/>
      <c r="Y27" s="297"/>
      <c r="Z27" s="297"/>
      <c r="AA27" s="319"/>
    </row>
    <row r="28" ht="15.0" customHeight="true">
      <c r="A28" s="313">
        <f>IF(B:B&lt;&gt;"",("TC_OTHER_REF_SET_"&amp;CONCATENATE("00",ROW()-7)),"")</f>
      </c>
      <c r="B28" s="313" t="s">
        <v>4817</v>
      </c>
      <c r="C28" s="313" t="s">
        <v>4818</v>
      </c>
      <c r="D28" s="313" t="s">
        <v>4819</v>
      </c>
      <c r="E28" s="313" t="s">
        <v>4820</v>
      </c>
      <c r="F28" s="313" t="s">
        <v>4821</v>
      </c>
      <c r="G28" s="313" t="s">
        <v>4822</v>
      </c>
      <c r="H28" s="297"/>
      <c r="I28" s="313" t="s">
        <v>4822</v>
      </c>
      <c r="J28" s="322" t="s">
        <v>234</v>
      </c>
      <c r="K28" s="313" t="s">
        <v>227</v>
      </c>
      <c r="L28" s="297"/>
      <c r="M28" s="324" t="s">
        <v>3199</v>
      </c>
      <c r="N28" s="297"/>
      <c r="O28" s="297"/>
      <c r="P28" s="297"/>
      <c r="Q28" s="297"/>
      <c r="R28" s="297"/>
      <c r="S28" s="297"/>
      <c r="T28" s="297"/>
      <c r="U28" s="297"/>
      <c r="V28" s="297"/>
      <c r="W28" s="297"/>
      <c r="X28" s="297"/>
      <c r="Y28" s="297"/>
      <c r="Z28" s="297"/>
      <c r="AA28" s="319"/>
    </row>
    <row r="29" ht="15.0" customHeight="true">
      <c r="A29" s="313">
        <f>IF(B:B&lt;&gt;"",("TC_OTHER_REF_SET_"&amp;CONCATENATE("00",ROW()-7)),"")</f>
      </c>
      <c r="B29" s="313" t="s">
        <v>4823</v>
      </c>
      <c r="C29" s="313" t="s">
        <v>4824</v>
      </c>
      <c r="D29" s="313" t="s">
        <v>4825</v>
      </c>
      <c r="E29" s="313" t="s">
        <v>4826</v>
      </c>
      <c r="F29" s="313" t="s">
        <v>2959</v>
      </c>
      <c r="G29" s="313" t="s">
        <v>4827</v>
      </c>
      <c r="H29" s="297"/>
      <c r="I29" s="313" t="s">
        <v>4827</v>
      </c>
      <c r="J29" s="322" t="s">
        <v>234</v>
      </c>
      <c r="K29" s="313" t="s">
        <v>227</v>
      </c>
      <c r="L29" s="297"/>
      <c r="M29" s="324" t="s">
        <v>4828</v>
      </c>
      <c r="N29" s="297"/>
      <c r="O29" s="297"/>
      <c r="P29" s="297"/>
      <c r="Q29" s="297"/>
      <c r="R29" s="297"/>
      <c r="S29" s="297"/>
      <c r="T29" s="297"/>
      <c r="U29" s="297"/>
      <c r="V29" s="297"/>
      <c r="W29" s="297"/>
      <c r="X29" s="297"/>
      <c r="Y29" s="297"/>
      <c r="Z29" s="297"/>
      <c r="AA29" s="319"/>
    </row>
    <row r="30" ht="15.0" customHeight="true">
      <c r="A30" s="319">
        <f>IF(B:B&lt;&gt;"",("TC_OTHER_REF_SET_"&amp;CONCATENATE("00",ROW()-7)),"")</f>
      </c>
      <c r="B30" s="319"/>
      <c r="C30" s="319"/>
      <c r="D30" s="319"/>
      <c r="E30" s="319"/>
      <c r="F30" s="319"/>
      <c r="G30" s="319"/>
      <c r="H30" s="319"/>
      <c r="I30" s="319"/>
      <c r="J30" s="319"/>
      <c r="K30" s="319"/>
      <c r="L30" s="319"/>
      <c r="M30" s="319"/>
      <c r="N30" s="319"/>
      <c r="O30" s="319"/>
      <c r="P30" s="319"/>
      <c r="Q30" s="319"/>
      <c r="R30" s="319"/>
      <c r="S30" s="319"/>
      <c r="T30" s="319"/>
      <c r="U30" s="319"/>
      <c r="V30" s="319"/>
      <c r="W30" s="319"/>
      <c r="X30" s="319"/>
      <c r="Y30" s="319"/>
      <c r="Z30" s="319"/>
      <c r="AA30" s="319"/>
    </row>
    <row r="31" ht="15.0" customHeight="true">
      <c r="A31" s="319">
        <f>IF(B:B&lt;&gt;"",("TC_OTHER_REF_SET_"&amp;CONCATENATE("00",ROW()-7)),"")</f>
      </c>
      <c r="B31" s="319"/>
      <c r="C31" s="319"/>
      <c r="D31" s="319"/>
      <c r="E31" s="319"/>
      <c r="F31" s="319"/>
      <c r="G31" s="319"/>
      <c r="H31" s="319"/>
      <c r="I31" s="319"/>
      <c r="J31" s="319"/>
      <c r="K31" s="319"/>
      <c r="L31" s="319"/>
      <c r="M31" s="319"/>
      <c r="N31" s="319"/>
      <c r="O31" s="319"/>
      <c r="P31" s="319"/>
      <c r="Q31" s="319"/>
      <c r="R31" s="319"/>
      <c r="S31" s="319"/>
      <c r="T31" s="319"/>
      <c r="U31" s="319"/>
      <c r="V31" s="319"/>
      <c r="W31" s="319"/>
      <c r="X31" s="319"/>
      <c r="Y31" s="319"/>
      <c r="Z31" s="319"/>
      <c r="AA31" s="319"/>
    </row>
    <row r="32" ht="15.0" customHeight="true">
      <c r="A32" s="319">
        <f>IF(B:B&lt;&gt;"",("TC_OTHER_REF_SET_"&amp;CONCATENATE("00",ROW()-7)),"")</f>
      </c>
      <c r="B32" s="319"/>
      <c r="C32" s="319"/>
      <c r="D32" s="319"/>
      <c r="E32" s="319"/>
      <c r="F32" s="319"/>
      <c r="G32" s="319"/>
      <c r="H32" s="319"/>
      <c r="I32" s="319"/>
      <c r="J32" s="319"/>
      <c r="K32" s="319"/>
      <c r="L32" s="319"/>
      <c r="M32" s="319"/>
      <c r="N32" s="319"/>
      <c r="O32" s="319"/>
      <c r="P32" s="319"/>
      <c r="Q32" s="319"/>
      <c r="R32" s="319"/>
      <c r="S32" s="319"/>
      <c r="T32" s="319"/>
      <c r="U32" s="319"/>
      <c r="V32" s="319"/>
      <c r="W32" s="319"/>
      <c r="X32" s="319"/>
      <c r="Y32" s="319"/>
      <c r="Z32" s="319"/>
      <c r="AA32" s="319"/>
    </row>
    <row r="33" ht="15.0" customHeight="true">
      <c r="A33" s="319">
        <f>IF(B:B&lt;&gt;"",("TC_OTHER_REF_SET_"&amp;CONCATENATE("00",ROW()-7)),"")</f>
      </c>
      <c r="B33" s="319"/>
      <c r="C33" s="319"/>
      <c r="D33" s="319"/>
      <c r="E33" s="319"/>
      <c r="F33" s="319"/>
      <c r="G33" s="319"/>
      <c r="H33" s="319"/>
      <c r="I33" s="319"/>
      <c r="J33" s="319"/>
      <c r="K33" s="319"/>
      <c r="L33" s="319"/>
      <c r="M33" s="319"/>
      <c r="N33" s="319"/>
      <c r="O33" s="319"/>
      <c r="P33" s="319"/>
      <c r="Q33" s="319"/>
      <c r="R33" s="319"/>
      <c r="S33" s="319"/>
      <c r="T33" s="319"/>
      <c r="U33" s="319"/>
      <c r="V33" s="319"/>
      <c r="W33" s="319"/>
      <c r="X33" s="319"/>
      <c r="Y33" s="319"/>
      <c r="Z33" s="319"/>
      <c r="AA33" s="319"/>
    </row>
    <row r="34" ht="15.0" customHeight="true">
      <c r="A34" s="319">
        <f>IF(B:B&lt;&gt;"",("TC_OTHER_REF_SET_"&amp;CONCATENATE("00",ROW()-7)),"")</f>
      </c>
      <c r="B34" s="319"/>
      <c r="C34" s="319"/>
      <c r="D34" s="319"/>
      <c r="E34" s="319"/>
      <c r="F34" s="319"/>
      <c r="G34" s="319"/>
      <c r="H34" s="319"/>
      <c r="I34" s="319"/>
      <c r="J34" s="319"/>
      <c r="K34" s="319"/>
      <c r="L34" s="319"/>
      <c r="M34" s="319"/>
      <c r="N34" s="319"/>
      <c r="O34" s="319"/>
      <c r="P34" s="319"/>
      <c r="Q34" s="319"/>
      <c r="R34" s="319"/>
      <c r="S34" s="319"/>
      <c r="T34" s="319"/>
      <c r="U34" s="319"/>
      <c r="V34" s="319"/>
      <c r="W34" s="319"/>
      <c r="X34" s="319"/>
      <c r="Y34" s="319"/>
      <c r="Z34" s="319"/>
      <c r="AA34" s="319"/>
    </row>
    <row r="35" ht="15.0" customHeight="true">
      <c r="A35" s="319">
        <f>IF(B:B&lt;&gt;"",("TC_OTHER_REF_SET_"&amp;CONCATENATE("00",ROW()-7)),"")</f>
      </c>
      <c r="B35" s="319"/>
      <c r="C35" s="319"/>
      <c r="D35" s="319"/>
      <c r="E35" s="319"/>
      <c r="F35" s="319"/>
      <c r="G35" s="319"/>
      <c r="H35" s="319"/>
      <c r="I35" s="319"/>
      <c r="J35" s="319"/>
      <c r="K35" s="319"/>
      <c r="L35" s="319"/>
      <c r="M35" s="319"/>
      <c r="N35" s="319"/>
      <c r="O35" s="319"/>
      <c r="P35" s="319"/>
      <c r="Q35" s="319"/>
      <c r="R35" s="319"/>
      <c r="S35" s="319"/>
      <c r="T35" s="319"/>
      <c r="U35" s="319"/>
      <c r="V35" s="319"/>
      <c r="W35" s="319"/>
      <c r="X35" s="319"/>
      <c r="Y35" s="319"/>
      <c r="Z35" s="319"/>
      <c r="AA35" s="319"/>
    </row>
    <row r="36" ht="15.0" customHeight="true">
      <c r="A36" s="319">
        <f>IF(B:B&lt;&gt;"",("TC_OTHER_REF_SET_"&amp;CONCATENATE("00",ROW()-7)),"")</f>
      </c>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row>
    <row r="37" ht="15.0" customHeight="true">
      <c r="A37" s="319">
        <f>IF(B:B&lt;&gt;"",("TC_OTHER_REF_SET_"&amp;CONCATENATE("00",ROW()-7)),"")</f>
      </c>
      <c r="B37" s="319"/>
      <c r="C37" s="319"/>
      <c r="D37" s="319"/>
      <c r="E37" s="319"/>
      <c r="F37" s="319"/>
      <c r="G37" s="319"/>
      <c r="H37" s="319"/>
      <c r="I37" s="319"/>
      <c r="J37" s="319"/>
      <c r="K37" s="319"/>
      <c r="L37" s="319"/>
      <c r="M37" s="319"/>
      <c r="N37" s="319"/>
      <c r="O37" s="319"/>
      <c r="P37" s="319"/>
      <c r="Q37" s="319"/>
      <c r="R37" s="319"/>
      <c r="S37" s="319"/>
      <c r="T37" s="319"/>
      <c r="U37" s="319"/>
      <c r="V37" s="319"/>
      <c r="W37" s="319"/>
      <c r="X37" s="319"/>
      <c r="Y37" s="319"/>
      <c r="Z37" s="319"/>
      <c r="AA37" s="319"/>
    </row>
    <row r="38" ht="15.0" customHeight="true">
      <c r="A38" s="319">
        <f>IF(B:B&lt;&gt;"",("TC_OTHER_REF_SET_"&amp;CONCATENATE("00",ROW()-7)),"")</f>
      </c>
      <c r="B38" s="319"/>
      <c r="C38" s="319"/>
      <c r="D38" s="319"/>
      <c r="E38" s="319"/>
      <c r="F38" s="319"/>
      <c r="G38" s="319"/>
      <c r="H38" s="319"/>
      <c r="I38" s="319"/>
      <c r="J38" s="319"/>
      <c r="K38" s="319"/>
      <c r="L38" s="319"/>
      <c r="M38" s="319"/>
      <c r="N38" s="319"/>
      <c r="O38" s="319"/>
      <c r="P38" s="319"/>
      <c r="Q38" s="319"/>
      <c r="R38" s="319"/>
      <c r="S38" s="319"/>
      <c r="T38" s="319"/>
      <c r="U38" s="319"/>
      <c r="V38" s="319"/>
      <c r="W38" s="319"/>
      <c r="X38" s="319"/>
      <c r="Y38" s="319"/>
      <c r="Z38" s="319"/>
      <c r="AA38" s="319"/>
    </row>
    <row r="39" ht="15.0" customHeight="true">
      <c r="A39" s="319">
        <f>IF(B:B&lt;&gt;"",("TC_OTHER_REF_SET_"&amp;CONCATENATE("00",ROW()-7)),"")</f>
      </c>
      <c r="B39" s="319"/>
      <c r="C39" s="319"/>
      <c r="D39" s="319"/>
      <c r="E39" s="319"/>
      <c r="F39" s="319"/>
      <c r="G39" s="319"/>
      <c r="H39" s="319"/>
      <c r="I39" s="319"/>
      <c r="J39" s="319"/>
      <c r="K39" s="319"/>
      <c r="L39" s="319"/>
      <c r="M39" s="319"/>
      <c r="N39" s="319"/>
      <c r="O39" s="319"/>
      <c r="P39" s="319"/>
      <c r="Q39" s="319"/>
      <c r="R39" s="319"/>
      <c r="S39" s="319"/>
      <c r="T39" s="319"/>
      <c r="U39" s="319"/>
      <c r="V39" s="319"/>
      <c r="W39" s="319"/>
      <c r="X39" s="319"/>
      <c r="Y39" s="319"/>
      <c r="Z39" s="319"/>
      <c r="AA39" s="319"/>
    </row>
    <row r="40" ht="15.0" customHeight="true">
      <c r="A40" s="319">
        <f>IF(B:B&lt;&gt;"",("TC_OTHER_REF_SET_"&amp;CONCATENATE("00",ROW()-7)),"")</f>
      </c>
      <c r="B40" s="319"/>
      <c r="C40" s="319"/>
      <c r="D40" s="319"/>
      <c r="E40" s="319"/>
      <c r="F40" s="319"/>
      <c r="G40" s="319"/>
      <c r="H40" s="319"/>
      <c r="I40" s="319"/>
      <c r="J40" s="319"/>
      <c r="K40" s="319"/>
      <c r="L40" s="319"/>
      <c r="M40" s="319"/>
      <c r="N40" s="319"/>
      <c r="O40" s="319"/>
      <c r="P40" s="319"/>
      <c r="Q40" s="319"/>
      <c r="R40" s="319"/>
      <c r="S40" s="319"/>
      <c r="T40" s="319"/>
      <c r="U40" s="319"/>
      <c r="V40" s="319"/>
      <c r="W40" s="319"/>
      <c r="X40" s="319"/>
      <c r="Y40" s="319"/>
      <c r="Z40" s="319"/>
      <c r="AA40" s="319"/>
    </row>
    <row r="41" ht="15.0" customHeight="true">
      <c r="A41" s="319">
        <f>IF(B:B&lt;&gt;"",("TC_OTHER_REF_SET_"&amp;CONCATENATE("00",ROW()-7)),"")</f>
      </c>
      <c r="B41" s="319"/>
      <c r="C41" s="319"/>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row>
    <row r="42" ht="15.0" customHeight="true">
      <c r="A42" s="319">
        <f>IF(B:B&lt;&gt;"",("TC_OTHER_REF_SET_"&amp;CONCATENATE("00",ROW()-7)),"")</f>
      </c>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319"/>
      <c r="AA42" s="319"/>
    </row>
    <row r="43" ht="15.0" customHeight="true">
      <c r="A43" s="319">
        <f>IF(B:B&lt;&gt;"",("TC_OTHER_REF_SET_"&amp;CONCATENATE("00",ROW()-7)),"")</f>
      </c>
      <c r="B43" s="319"/>
      <c r="C43" s="319"/>
      <c r="D43" s="319"/>
      <c r="E43" s="319"/>
      <c r="F43" s="319"/>
      <c r="G43" s="319"/>
      <c r="H43" s="319"/>
      <c r="I43" s="319"/>
      <c r="J43" s="319"/>
      <c r="K43" s="319"/>
      <c r="L43" s="319"/>
      <c r="M43" s="319"/>
      <c r="N43" s="319"/>
      <c r="O43" s="319"/>
      <c r="P43" s="319"/>
      <c r="Q43" s="319"/>
      <c r="R43" s="319"/>
      <c r="S43" s="319"/>
      <c r="T43" s="319"/>
      <c r="U43" s="319"/>
      <c r="V43" s="319"/>
      <c r="W43" s="319"/>
      <c r="X43" s="319"/>
      <c r="Y43" s="319"/>
      <c r="Z43" s="319"/>
      <c r="AA43" s="319"/>
    </row>
    <row r="44" ht="15.0" customHeight="true">
      <c r="A44" s="319">
        <f>IF(B:B&lt;&gt;"",("TC_OTHER_REF_SET_"&amp;CONCATENATE("00",ROW()-7)),"")</f>
      </c>
      <c r="B44" s="319"/>
      <c r="C44" s="319"/>
      <c r="D44" s="319"/>
      <c r="E44" s="319"/>
      <c r="F44" s="319"/>
      <c r="G44" s="319"/>
      <c r="H44" s="319"/>
      <c r="I44" s="319"/>
      <c r="J44" s="319"/>
      <c r="K44" s="319"/>
      <c r="L44" s="319"/>
      <c r="M44" s="319"/>
      <c r="N44" s="319"/>
      <c r="O44" s="319"/>
      <c r="P44" s="319"/>
      <c r="Q44" s="319"/>
      <c r="R44" s="319"/>
      <c r="S44" s="319"/>
      <c r="T44" s="319"/>
      <c r="U44" s="319"/>
      <c r="V44" s="319"/>
      <c r="W44" s="319"/>
      <c r="X44" s="319"/>
      <c r="Y44" s="319"/>
      <c r="Z44" s="319"/>
      <c r="AA44" s="319"/>
    </row>
    <row r="45" ht="15.0" customHeight="true">
      <c r="A45" s="319">
        <f>IF(B:B&lt;&gt;"",("TC_OTHER_REF_SET_"&amp;CONCATENATE("00",ROW()-7)),"")</f>
      </c>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c r="AA45" s="319"/>
    </row>
    <row r="46" ht="15.0" customHeight="true">
      <c r="A46" s="319">
        <f>IF(B:B&lt;&gt;"",("TC_OTHER_REF_SET_"&amp;CONCATENATE("00",ROW()-7)),"")</f>
      </c>
      <c r="B46" s="319"/>
      <c r="C46" s="319"/>
      <c r="D46" s="319"/>
      <c r="E46" s="319"/>
      <c r="F46" s="319"/>
      <c r="G46" s="319"/>
      <c r="H46" s="319"/>
      <c r="I46" s="319"/>
      <c r="J46" s="319"/>
      <c r="K46" s="319"/>
      <c r="L46" s="319"/>
      <c r="M46" s="319"/>
      <c r="N46" s="319"/>
      <c r="O46" s="319"/>
      <c r="P46" s="319"/>
      <c r="Q46" s="319"/>
      <c r="R46" s="319"/>
      <c r="S46" s="319"/>
      <c r="T46" s="319"/>
      <c r="U46" s="319"/>
      <c r="V46" s="319"/>
      <c r="W46" s="319"/>
      <c r="X46" s="319"/>
      <c r="Y46" s="319"/>
      <c r="Z46" s="319"/>
      <c r="AA46" s="319"/>
    </row>
    <row r="47" ht="15.0" customHeight="true">
      <c r="A47" s="319">
        <f>IF(B:B&lt;&gt;"",("TC_OTHER_REF_SET_"&amp;CONCATENATE("00",ROW()-7)),"")</f>
      </c>
      <c r="B47" s="319"/>
      <c r="C47" s="319"/>
      <c r="D47" s="319"/>
      <c r="E47" s="319"/>
      <c r="F47" s="319"/>
      <c r="G47" s="319"/>
      <c r="H47" s="319"/>
      <c r="I47" s="319"/>
      <c r="J47" s="319"/>
      <c r="K47" s="319"/>
      <c r="L47" s="319"/>
      <c r="M47" s="319"/>
      <c r="N47" s="319"/>
      <c r="O47" s="319"/>
      <c r="P47" s="319"/>
      <c r="Q47" s="319"/>
      <c r="R47" s="319"/>
      <c r="S47" s="319"/>
      <c r="T47" s="319"/>
      <c r="U47" s="319"/>
      <c r="V47" s="319"/>
      <c r="W47" s="319"/>
      <c r="X47" s="319"/>
      <c r="Y47" s="319"/>
      <c r="Z47" s="319"/>
      <c r="AA47" s="319"/>
    </row>
    <row r="48" ht="15.0" customHeight="true">
      <c r="A48" s="319">
        <f>IF(B:B&lt;&gt;"",("TC_OTHER_REF_SET_"&amp;CONCATENATE("00",ROW()-7)),"")</f>
      </c>
      <c r="B48" s="319"/>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row>
    <row r="49" ht="15.0" customHeight="true">
      <c r="A49" s="319">
        <f>IF(B:B&lt;&gt;"",("TC_OTHER_REF_SET_"&amp;CONCATENATE("00",ROW()-7)),"")</f>
      </c>
      <c r="B49" s="319"/>
      <c r="C49" s="319"/>
      <c r="D49" s="319"/>
      <c r="E49" s="319"/>
      <c r="F49" s="319"/>
      <c r="G49" s="319"/>
      <c r="H49" s="319"/>
      <c r="I49" s="319"/>
      <c r="J49" s="319"/>
      <c r="K49" s="319"/>
      <c r="L49" s="319"/>
      <c r="M49" s="319"/>
      <c r="N49" s="319"/>
      <c r="O49" s="319"/>
      <c r="P49" s="319"/>
      <c r="Q49" s="319"/>
      <c r="R49" s="319"/>
      <c r="S49" s="319"/>
      <c r="T49" s="319"/>
      <c r="U49" s="319"/>
      <c r="V49" s="319"/>
      <c r="W49" s="319"/>
      <c r="X49" s="319"/>
      <c r="Y49" s="319"/>
      <c r="Z49" s="319"/>
      <c r="AA49" s="319"/>
    </row>
    <row r="50" ht="15.0" customHeight="true">
      <c r="A50" s="319">
        <f>IF(B:B&lt;&gt;"",("TC_OTHER_REF_SET_"&amp;CONCATENATE("00",ROW()-7)),"")</f>
      </c>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c r="AA50" s="319"/>
    </row>
    <row r="51" ht="15.0" customHeight="true">
      <c r="A51" s="319">
        <f>IF(B:B&lt;&gt;"",("TC_OTHER_REF_SET_"&amp;CONCATENATE("00",ROW()-7)),"")</f>
      </c>
      <c r="B51" s="319"/>
      <c r="C51" s="319"/>
      <c r="D51" s="319"/>
      <c r="E51" s="319"/>
      <c r="F51" s="319"/>
      <c r="G51" s="319"/>
      <c r="H51" s="319"/>
      <c r="I51" s="319"/>
      <c r="J51" s="319"/>
      <c r="K51" s="319"/>
      <c r="L51" s="319"/>
      <c r="M51" s="319"/>
      <c r="N51" s="319"/>
      <c r="O51" s="319"/>
      <c r="P51" s="319"/>
      <c r="Q51" s="319"/>
      <c r="R51" s="319"/>
      <c r="S51" s="319"/>
      <c r="T51" s="319"/>
      <c r="U51" s="319"/>
      <c r="V51" s="319"/>
      <c r="W51" s="319"/>
      <c r="X51" s="319"/>
      <c r="Y51" s="319"/>
      <c r="Z51" s="319"/>
      <c r="AA51" s="319"/>
    </row>
    <row r="52" ht="15.0" customHeight="true">
      <c r="A52" s="319">
        <f>IF(B:B&lt;&gt;"",("TC_OTHER_REF_SET_"&amp;CONCATENATE("00",ROW()-7)),"")</f>
      </c>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c r="AA52" s="319"/>
    </row>
    <row r="53" ht="15.0" customHeight="true">
      <c r="A53" s="319">
        <f>IF(B:B&lt;&gt;"",("TC_OTHER_REF_SET_"&amp;CONCATENATE("00",ROW()-7)),"")</f>
      </c>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row>
    <row r="54" ht="15.0" customHeight="true">
      <c r="A54" s="319">
        <f>IF(B:B&lt;&gt;"",("TC_OTHER_REF_SET_"&amp;CONCATENATE("00",ROW()-7)),"")</f>
      </c>
      <c r="B54" s="319"/>
      <c r="C54" s="319"/>
      <c r="D54" s="319"/>
      <c r="E54" s="319"/>
      <c r="F54" s="319"/>
      <c r="G54" s="319"/>
      <c r="H54" s="319"/>
      <c r="I54" s="319"/>
      <c r="J54" s="319"/>
      <c r="K54" s="319"/>
      <c r="L54" s="319"/>
      <c r="M54" s="319"/>
      <c r="N54" s="319"/>
      <c r="O54" s="319"/>
      <c r="P54" s="319"/>
      <c r="Q54" s="319"/>
      <c r="R54" s="319"/>
      <c r="S54" s="319"/>
      <c r="T54" s="319"/>
      <c r="U54" s="319"/>
      <c r="V54" s="319"/>
      <c r="W54" s="319"/>
      <c r="X54" s="319"/>
      <c r="Y54" s="319"/>
      <c r="Z54" s="319"/>
      <c r="AA54" s="319"/>
    </row>
    <row r="55" ht="15.0" customHeight="true">
      <c r="A55" s="319">
        <f>IF(B:B&lt;&gt;"",("TC_OTHER_REF_SET_"&amp;CONCATENATE("00",ROW()-7)),"")</f>
      </c>
      <c r="B55" s="319"/>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row>
    <row r="56" ht="15.0" customHeight="true">
      <c r="A56" s="319">
        <f>IF(B:B&lt;&gt;"",("TC_OTHER_REF_SET_"&amp;CONCATENATE("00",ROW()-7)),"")</f>
      </c>
      <c r="B56" s="319"/>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319"/>
      <c r="AA56" s="319"/>
    </row>
    <row r="57" ht="15.0" customHeight="true">
      <c r="A57" s="319">
        <f>IF(B:B&lt;&gt;"",("TC_OTHER_REF_SET_"&amp;CONCATENATE("00",ROW()-7)),"")</f>
      </c>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c r="AA57" s="319"/>
    </row>
    <row r="58" ht="15.0" customHeight="true">
      <c r="A58" s="319">
        <f>IF(B:B&lt;&gt;"",("TC_OTHER_REF_SET_"&amp;CONCATENATE("00",ROW()-7)),"")</f>
      </c>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row>
    <row r="59" ht="15.0" customHeight="true">
      <c r="A59" s="319">
        <f>IF(B:B&lt;&gt;"",("TC_REFER_SET_"&amp;CONCATENATE("00",ROW()-9)),"")</f>
      </c>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row>
    <row r="60" ht="15.0" customHeight="true">
      <c r="A60" s="319">
        <f>IF(B:B&lt;&gt;"",("TC_REFER_SET_"&amp;CONCATENATE("00",ROW()-9)),"")</f>
      </c>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row>
    <row r="61" ht="15.0" customHeight="true">
      <c r="A61" s="319">
        <f>IF(B:B&lt;&gt;"",("TC_REFER_SET_"&amp;CONCATENATE("00",ROW()-9)),"")</f>
      </c>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row>
    <row r="62" ht="15.0" customHeight="true">
      <c r="A62" s="319">
        <f>IF(B:B&lt;&gt;"",("TC_REFER_SET_"&amp;CONCATENATE("00",ROW()-9)),"")</f>
      </c>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c r="AA62" s="319"/>
    </row>
    <row r="63" ht="15.0" customHeight="true">
      <c r="A63" s="319">
        <f>IF(B:B&lt;&gt;"",("TC_REFER_SET_"&amp;CONCATENATE("00",ROW()-9)),"")</f>
      </c>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row>
    <row r="64" ht="15.0" customHeight="true">
      <c r="A64" s="319">
        <f>IF(B:B&lt;&gt;"",("TC_REFER_SET_"&amp;CONCATENATE("00",ROW()-9)),"")</f>
      </c>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c r="AA64" s="319"/>
    </row>
    <row r="65" ht="15.0" customHeight="true">
      <c r="A65" s="319">
        <f>IF(B:B&lt;&gt;"",("TC_REFER_SET_"&amp;CONCATENATE("00",ROW()-9)),"")</f>
      </c>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row>
    <row r="66" ht="15.0" customHeight="true">
      <c r="A66" s="319">
        <f>IF(B:B&lt;&gt;"",("TC_REFER_SET_"&amp;CONCATENATE("00",ROW()-9)),"")</f>
      </c>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c r="AA66" s="319"/>
    </row>
    <row r="67" ht="15.0" customHeight="true">
      <c r="A67" s="319">
        <f>IF(B:B&lt;&gt;"",("TC_REFER_SET_"&amp;CONCATENATE("00",ROW()-9)),"")</f>
      </c>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c r="AA67" s="319"/>
    </row>
    <row r="68" ht="15.0" customHeight="true">
      <c r="A68" s="319">
        <f>IF(B:B&lt;&gt;"",("TC_REFER_SET_"&amp;CONCATENATE("00",ROW()-9)),"")</f>
      </c>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c r="AA68" s="319"/>
    </row>
    <row r="69" ht="15.0" customHeight="true">
      <c r="A69" s="319">
        <f>IF(B:B&lt;&gt;"",("TC_REFER_SET_"&amp;CONCATENATE("00",ROW()-9)),"")</f>
      </c>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c r="AA69" s="319"/>
    </row>
    <row r="70" ht="15.0" customHeight="true">
      <c r="A70" s="319">
        <f>IF(B:B&lt;&gt;"",("TC_REFER_SET_"&amp;CONCATENATE("00",ROW()-9)),"")</f>
      </c>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row>
    <row r="71" ht="15.0" customHeight="true">
      <c r="A71" s="319">
        <f>IF(B:B&lt;&gt;"",("TC_REFER_SET_"&amp;CONCATENATE("00",ROW()-9)),"")</f>
      </c>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c r="AA71" s="319"/>
    </row>
    <row r="72" ht="15.0" customHeight="true">
      <c r="A72" s="319">
        <f>IF(B:B&lt;&gt;"",("TC_REFER_SET_"&amp;CONCATENATE("00",ROW()-9)),"")</f>
      </c>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c r="AA72" s="319"/>
    </row>
    <row r="73" ht="15.0" customHeight="true">
      <c r="A73" s="319">
        <f>IF(B:B&lt;&gt;"",("TC_REFER_SET_"&amp;CONCATENATE("00",ROW()-9)),"")</f>
      </c>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row>
    <row r="74" ht="15.0" customHeight="true">
      <c r="A74" s="319">
        <f>IF(B:B&lt;&gt;"",("TC_REFER_SET_"&amp;CONCATENATE("00",ROW()-9)),"")</f>
      </c>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c r="AA74" s="319"/>
    </row>
    <row r="75" ht="15.0" customHeight="true">
      <c r="A75" s="319">
        <f>IF(B:B&lt;&gt;"",("TC_REFER_SET_"&amp;CONCATENATE("00",ROW()-9)),"")</f>
      </c>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row>
    <row r="76" ht="15.0" customHeight="true">
      <c r="A76" s="319">
        <f>IF(B:B&lt;&gt;"",("TC_REFER_SET_"&amp;CONCATENATE("00",ROW()-9)),"")</f>
      </c>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row>
    <row r="77" ht="15.0" customHeight="true">
      <c r="A77" s="319">
        <f>IF(B:B&lt;&gt;"",("TC_REFER_SET_"&amp;CONCATENATE("00",ROW()-9)),"")</f>
      </c>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row>
    <row r="78" ht="15.0" customHeight="true">
      <c r="A78" s="319">
        <f>IF(B:B&lt;&gt;"",("TC_REFER_SET_"&amp;CONCATENATE("00",ROW()-9)),"")</f>
      </c>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row>
    <row r="79" ht="15.0" customHeight="true">
      <c r="A79" s="319">
        <f>IF(B:B&lt;&gt;"",("TC_REFER_SET_"&amp;CONCATENATE("00",ROW()-9)),"")</f>
      </c>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c r="AA79" s="319"/>
    </row>
    <row r="80" ht="15.0" customHeight="true">
      <c r="A80" s="319">
        <f>IF(B:B&lt;&gt;"",("TC_REFER_SET_"&amp;CONCATENATE("00",ROW()-9)),"")</f>
      </c>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row>
    <row r="81" ht="15.0" customHeight="true">
      <c r="A81" s="319">
        <f>IF(B:B&lt;&gt;"",("TC_REFER_SET_"&amp;CONCATENATE("00",ROW()-9)),"")</f>
      </c>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c r="AA81" s="319"/>
    </row>
    <row r="82" ht="15.0" customHeight="true">
      <c r="A82" s="319">
        <f>IF(B:B&lt;&gt;"",("TC_REFER_SET_"&amp;CONCATENATE("00",ROW()-9)),"")</f>
      </c>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c r="AA82" s="319"/>
    </row>
    <row r="83" ht="15.0" customHeight="true">
      <c r="A83" s="319">
        <f>IF(B:B&lt;&gt;"",("TC_REFER_SET_"&amp;CONCATENATE("00",ROW()-9)),"")</f>
      </c>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c r="AA83" s="319"/>
    </row>
    <row r="84" ht="15.0" customHeight="true">
      <c r="A84" s="319">
        <f>IF(B:B&lt;&gt;"",("TC_REFER_SET_"&amp;CONCATENATE("00",ROW()-9)),"")</f>
      </c>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c r="AA84" s="319"/>
    </row>
    <row r="85" ht="15.0" customHeight="true">
      <c r="A85" s="319">
        <f>IF(B:B&lt;&gt;"",("TC_REFER_SET_"&amp;CONCATENATE("00",ROW()-9)),"")</f>
      </c>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row>
    <row r="86" ht="15.0" customHeight="true">
      <c r="A86" s="319">
        <f>IF(B:B&lt;&gt;"",("TC_REFER_SET_"&amp;CONCATENATE("00",ROW()-9)),"")</f>
      </c>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row>
    <row r="87" ht="15.0" customHeight="true">
      <c r="A87" s="319">
        <f>IF(B:B&lt;&gt;"",("TC_REFER_SET_"&amp;CONCATENATE("00",ROW()-9)),"")</f>
      </c>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row>
    <row r="88" ht="15.0" customHeight="true">
      <c r="A88" s="319">
        <f>IF(B:B&lt;&gt;"",("TC_REFER_SET_"&amp;CONCATENATE("00",ROW()-9)),"")</f>
      </c>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row>
    <row r="89" ht="15.0" customHeight="true">
      <c r="A89" s="319">
        <f>IF(B:B&lt;&gt;"",("TC_REFER_SET_"&amp;CONCATENATE("00",ROW()-9)),"")</f>
      </c>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c r="AA89" s="319"/>
    </row>
    <row r="90" ht="15.0" customHeight="true">
      <c r="A90" s="319">
        <f>IF(B:B&lt;&gt;"",("TC_REFER_SET_"&amp;CONCATENATE("00",ROW()-9)),"")</f>
      </c>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c r="AA90" s="319"/>
    </row>
    <row r="91" ht="15.0" customHeight="true">
      <c r="A91" s="319">
        <f>IF(B:B&lt;&gt;"",("TC_REFER_SET_"&amp;CONCATENATE("00",ROW()-9)),"")</f>
      </c>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row>
    <row r="92" ht="15.0" customHeight="true">
      <c r="A92" s="319">
        <f>IF(B:B&lt;&gt;"",("TC_REFER_SET_"&amp;CONCATENATE("00",ROW()-9)),"")</f>
      </c>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row>
    <row r="93" ht="15.0" customHeight="true">
      <c r="A93" s="319">
        <f>IF(B:B&lt;&gt;"",("TC_REFER_SET_"&amp;CONCATENATE("00",ROW()-9)),"")</f>
      </c>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row>
    <row r="94" ht="15.0" customHeight="true">
      <c r="A94" s="319">
        <f>IF(B:B&lt;&gt;"",("TC_REFER_SET_"&amp;CONCATENATE("00",ROW()-9)),"")</f>
      </c>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row>
    <row r="95" ht="15.0" customHeight="true">
      <c r="A95" s="319">
        <f>IF(B:B&lt;&gt;"",("TC_REFER_SET_"&amp;CONCATENATE("00",ROW()-9)),"")</f>
      </c>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row>
    <row r="96" ht="15.0" customHeight="true">
      <c r="A96" s="319">
        <f>IF(B:B&lt;&gt;"",("TC_REFER_SET_"&amp;CONCATENATE("00",ROW()-9)),"")</f>
      </c>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row>
    <row r="97" ht="15.0" customHeight="true">
      <c r="A97" s="319">
        <f>IF(B:B&lt;&gt;"",("TC_REFER_SET_"&amp;CONCATENATE("00",ROW()-9)),"")</f>
      </c>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row>
    <row r="98" ht="15.0" customHeight="true">
      <c r="A98" s="319">
        <f>IF(B:B&lt;&gt;"",("TC_REFER_SET_"&amp;CONCATENATE("00",ROW()-9)),"")</f>
      </c>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row>
    <row r="99" ht="15.0" customHeight="true">
      <c r="A99" s="319">
        <f>IF(B:B&lt;&gt;"",("TC_REFER_SET_"&amp;CONCATENATE("00",ROW()-9)),"")</f>
      </c>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row>
    <row r="100" ht="15.0" customHeight="true">
      <c r="A100" s="319">
        <f>IF(B:B&lt;&gt;"",("TC_REFER_SET_"&amp;CONCATENATE("00",ROW()-9)),"")</f>
      </c>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row>
    <row r="101" ht="15.0" customHeight="true">
      <c r="A101" s="319">
        <f>IF(B:B&lt;&gt;"",("TC_REFER_SET_"&amp;CONCATENATE("00",ROW()-9)),"")</f>
      </c>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row>
    <row r="102" ht="15.0" customHeight="true">
      <c r="A102" s="319">
        <f>IF(B:B&lt;&gt;"",("TC_REFER_SET_"&amp;CONCATENATE("00",ROW()-9)),"")</f>
      </c>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row>
    <row r="103" ht="15.0" customHeight="true">
      <c r="A103" s="319">
        <f>IF(B:B&lt;&gt;"",("TC_REFER_SET_"&amp;CONCATENATE("00",ROW()-9)),"")</f>
      </c>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row>
    <row r="104" ht="15.0" customHeight="true">
      <c r="A104" s="319">
        <f>IF(B:B&lt;&gt;"",("TC_REFER_SET_"&amp;CONCATENATE("00",ROW()-9)),"")</f>
      </c>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row>
    <row r="105" ht="15.0" customHeight="true">
      <c r="A105" s="319">
        <f>IF(B:B&lt;&gt;"",("TC_REFER_SET_"&amp;CONCATENATE("00",ROW()-9)),"")</f>
      </c>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row>
    <row r="106" ht="15.0" customHeight="true">
      <c r="A106" s="319">
        <f>IF(B:B&lt;&gt;"",("TC_REFER_SET_"&amp;CONCATENATE("00",ROW()-9)),"")</f>
      </c>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row>
    <row r="107" ht="15.0" customHeight="true">
      <c r="A107" s="319">
        <f>IF(B:B&lt;&gt;"",("TC_REFER_SET_"&amp;CONCATENATE("00",ROW()-9)),"")</f>
      </c>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row>
    <row r="108" ht="15.0" customHeight="true">
      <c r="A108" s="319">
        <f>IF(B:B&lt;&gt;"",("TC_REFER_SET_"&amp;CONCATENATE("00",ROW()-9)),"")</f>
      </c>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row>
    <row r="109" ht="15.0" customHeight="true">
      <c r="A109" s="319">
        <f>IF(B:B&lt;&gt;"",("TC_REFER_SET_"&amp;CONCATENATE("00",ROW()-9)),"")</f>
      </c>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row>
    <row r="110" ht="15.0" customHeight="true">
      <c r="A110" s="319">
        <f>IF(B:B&lt;&gt;"",("TC_REFER_SET_"&amp;CONCATENATE("00",ROW()-9)),"")</f>
      </c>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row>
    <row r="111" ht="15.0" customHeight="true">
      <c r="A111" s="319">
        <f>IF(B:B&lt;&gt;"",("TC_REFER_SET_"&amp;CONCATENATE("00",ROW()-9)),"")</f>
      </c>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row>
    <row r="112" ht="15.0" customHeight="true">
      <c r="A112" s="319">
        <f>IF(B:B&lt;&gt;"",("TC_REFER_SET_"&amp;CONCATENATE("00",ROW()-9)),"")</f>
      </c>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row>
    <row r="113" ht="15.0" customHeight="true">
      <c r="A113" s="319">
        <f>IF(B:B&lt;&gt;"",("TC_REFER_SET_"&amp;CONCATENATE("00",ROW()-9)),"")</f>
      </c>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row>
    <row r="114" ht="15.0" customHeight="true">
      <c r="A114" s="319">
        <f>IF(B:B&lt;&gt;"",("TC_REFER_SET_"&amp;CONCATENATE("00",ROW()-9)),"")</f>
      </c>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row>
    <row r="115" ht="15.0" customHeight="true">
      <c r="A115" s="319">
        <f>IF(B:B&lt;&gt;"",("TC_REFER_SET_"&amp;CONCATENATE("00",ROW()-9)),"")</f>
      </c>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row>
    <row r="116" ht="15.0" customHeight="true">
      <c r="A116" s="319">
        <f>IF(B:B&lt;&gt;"",("TC_REFER_SET_"&amp;CONCATENATE("00",ROW()-9)),"")</f>
      </c>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row>
    <row r="117" ht="15.0" customHeight="true">
      <c r="A117" s="319">
        <f>IF(B:B&lt;&gt;"",("TC_REFER_SET_"&amp;CONCATENATE("00",ROW()-9)),"")</f>
      </c>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row>
    <row r="118" ht="15.0" customHeight="true">
      <c r="A118" s="319">
        <f>IF(B:B&lt;&gt;"",("TC_REFER_SET_"&amp;CONCATENATE("00",ROW()-9)),"")</f>
      </c>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row>
    <row r="119" ht="15.0" customHeight="true">
      <c r="A119" s="319">
        <f>IF(B:B&lt;&gt;"",("TC_REFER_SET_"&amp;CONCATENATE("00",ROW()-9)),"")</f>
      </c>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row>
    <row r="120" ht="15.0" customHeight="true">
      <c r="A120" s="319">
        <f>IF(B:B&lt;&gt;"",("TC_REFER_SET_"&amp;CONCATENATE("00",ROW()-9)),"")</f>
      </c>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row>
    <row r="121" ht="15.0" customHeight="true">
      <c r="A121" s="319">
        <f>IF(B:B&lt;&gt;"",("TC_REFER_SET_"&amp;CONCATENATE("00",ROW()-9)),"")</f>
      </c>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c r="AA121" s="319"/>
    </row>
    <row r="122" ht="15.0" customHeight="true">
      <c r="A122" s="319">
        <f>IF(B:B&lt;&gt;"",("TC_REFER_SET_"&amp;CONCATENATE("00",ROW()-9)),"")</f>
      </c>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row>
    <row r="123" ht="15.0" customHeight="true">
      <c r="A123" s="319">
        <f>IF(B:B&lt;&gt;"",("TC_REFER_SET_"&amp;CONCATENATE("00",ROW()-9)),"")</f>
      </c>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row>
    <row r="124" ht="15.0" customHeight="true">
      <c r="A124" s="319">
        <f>IF(B:B&lt;&gt;"",("TC_REFER_SET_"&amp;CONCATENATE("00",ROW()-9)),"")</f>
      </c>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row>
    <row r="125" ht="15.0" customHeight="true">
      <c r="A125" s="319">
        <f>IF(B:B&lt;&gt;"",("TC_REFER_SET_"&amp;CONCATENATE("00",ROW()-9)),"")</f>
      </c>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c r="AA125" s="319"/>
    </row>
    <row r="126" ht="15.0" customHeight="true">
      <c r="A126" s="319">
        <f>IF(B:B&lt;&gt;"",("TC_REFER_SET_"&amp;CONCATENATE("00",ROW()-9)),"")</f>
      </c>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c r="AA126" s="319"/>
    </row>
    <row r="127" ht="15.0" customHeight="true">
      <c r="A127" s="319">
        <f>IF(B:B&lt;&gt;"",("TC_REFER_SET_"&amp;CONCATENATE("00",ROW()-9)),"")</f>
      </c>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c r="AA127" s="319"/>
    </row>
    <row r="128" ht="15.0" customHeight="true">
      <c r="A128" s="319">
        <f>IF(B:B&lt;&gt;"",("TC_REFER_SET_"&amp;CONCATENATE("00",ROW()-9)),"")</f>
      </c>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c r="AA128" s="319"/>
    </row>
    <row r="129" ht="15.0" customHeight="true">
      <c r="A129" s="319">
        <f>IF(B:B&lt;&gt;"",("TC_REFER_SET_"&amp;CONCATENATE("00",ROW()-9)),"")</f>
      </c>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row>
    <row r="130" ht="15.0" customHeight="true">
      <c r="A130" s="319">
        <f>IF(B:B&lt;&gt;"",("TC_REFER_SET_"&amp;CONCATENATE("00",ROW()-9)),"")</f>
      </c>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row>
    <row r="131" ht="15.0" customHeight="true">
      <c r="A131" s="319">
        <f>IF(B:B&lt;&gt;"",("TC_REFER_SET_"&amp;CONCATENATE("00",ROW()-9)),"")</f>
      </c>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row>
    <row r="132" ht="15.0" customHeight="true">
      <c r="A132" s="319">
        <f>IF(B:B&lt;&gt;"",("TC_REFER_SET_"&amp;CONCATENATE("00",ROW()-9)),"")</f>
      </c>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row>
    <row r="133" ht="15.0" customHeight="true">
      <c r="A133" s="319">
        <f>IF(B:B&lt;&gt;"",("TC_REFER_SET_"&amp;CONCATENATE("00",ROW()-9)),"")</f>
      </c>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c r="AA133" s="319"/>
    </row>
    <row r="134" ht="15.0" customHeight="true">
      <c r="A134" s="319">
        <f>IF(B:B&lt;&gt;"",("TC_REFER_SET_"&amp;CONCATENATE("00",ROW()-9)),"")</f>
      </c>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c r="AA134" s="319"/>
    </row>
    <row r="135" ht="15.0" customHeight="true">
      <c r="A135" s="319">
        <f>IF(B:B&lt;&gt;"",("TC_REFER_SET_"&amp;CONCATENATE("00",ROW()-9)),"")</f>
      </c>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c r="AA135" s="319"/>
    </row>
    <row r="136" ht="15.0" customHeight="true">
      <c r="A136" s="319">
        <f>IF(B:B&lt;&gt;"",("TC_REFER_SET_"&amp;CONCATENATE("00",ROW()-9)),"")</f>
      </c>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c r="AA136" s="319"/>
    </row>
    <row r="137" ht="15.0" customHeight="true">
      <c r="A137" s="319">
        <f>IF(B:B&lt;&gt;"",("TC_REFER_SET_"&amp;CONCATENATE("00",ROW()-9)),"")</f>
      </c>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row>
    <row r="138" ht="15.0" customHeight="true">
      <c r="A138" s="319">
        <f>IF(B:B&lt;&gt;"",("TC_REFER_SET_"&amp;CONCATENATE("00",ROW()-9)),"")</f>
      </c>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row>
    <row r="139" ht="15.0" customHeight="true">
      <c r="A139" s="319">
        <f>IF(B:B&lt;&gt;"",("TC_REFER_SET_"&amp;CONCATENATE("00",ROW()-9)),"")</f>
      </c>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row>
    <row r="140" ht="15.0" customHeight="true">
      <c r="A140" s="319">
        <f>IF(B:B&lt;&gt;"",("TC_REFER_SET_"&amp;CONCATENATE("00",ROW()-9)),"")</f>
      </c>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c r="AA140" s="319"/>
    </row>
    <row r="141" ht="15.0" customHeight="true">
      <c r="A141" s="319">
        <f>IF(B:B&lt;&gt;"",("TC_REFER_SET_"&amp;CONCATENATE("00",ROW()-9)),"")</f>
      </c>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row>
    <row r="142" ht="15.0" customHeight="true">
      <c r="A142" s="319">
        <f>IF(B:B&lt;&gt;"",("TC_REFER_SET_"&amp;CONCATENATE("00",ROW()-9)),"")</f>
      </c>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row>
    <row r="143" ht="15.0" customHeight="true">
      <c r="A143" s="319">
        <f>IF(B:B&lt;&gt;"",("TC_REFER_SET_"&amp;CONCATENATE("00",ROW()-9)),"")</f>
      </c>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row>
    <row r="144" ht="15.0" customHeight="true">
      <c r="A144" s="319">
        <f>IF(B:B&lt;&gt;"",("TC_REFER_SET_"&amp;CONCATENATE("00",ROW()-9)),"")</f>
      </c>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row>
    <row r="145" ht="15.0" customHeight="true">
      <c r="A145" s="319">
        <f>IF(B:B&lt;&gt;"",("TC_REFER_SET_"&amp;CONCATENATE("00",ROW()-9)),"")</f>
      </c>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row>
    <row r="146" ht="15.0" customHeight="true">
      <c r="A146" s="319">
        <f>IF(B:B&lt;&gt;"",("TC_REFER_SET_"&amp;CONCATENATE("00",ROW()-9)),"")</f>
      </c>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row>
    <row r="147" ht="15.0" customHeight="true">
      <c r="A147" s="319">
        <f>IF(B:B&lt;&gt;"",("TC_REFER_SET_"&amp;CONCATENATE("00",ROW()-9)),"")</f>
      </c>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c r="AA147" s="319"/>
    </row>
    <row r="148" ht="15.0" customHeight="true">
      <c r="A148" s="319">
        <f>IF(B:B&lt;&gt;"",("TC_REFER_SET_"&amp;CONCATENATE("00",ROW()-9)),"")</f>
      </c>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c r="AA148" s="319"/>
    </row>
    <row r="149" ht="15.0" customHeight="true">
      <c r="A149" s="319">
        <f>IF(B:B&lt;&gt;"",("TC_REFER_SET_"&amp;CONCATENATE("00",ROW()-9)),"")</f>
      </c>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c r="AA149" s="319"/>
    </row>
    <row r="150" ht="15.0" customHeight="true">
      <c r="A150" s="319">
        <f>IF(B:B&lt;&gt;"",("TC_REFER_SET_"&amp;CONCATENATE("00",ROW()-9)),"")</f>
      </c>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row>
    <row r="151" ht="15.0" customHeight="true">
      <c r="A151" s="319">
        <f>IF(B:B&lt;&gt;"",("TC_REFER_SET_"&amp;CONCATENATE("00",ROW()-9)),"")</f>
      </c>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row>
    <row r="152" ht="15.0" customHeight="true">
      <c r="A152" s="319">
        <f>IF(B:B&lt;&gt;"",("TC_REFER_SET_"&amp;CONCATENATE("00",ROW()-9)),"")</f>
      </c>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row>
    <row r="153" ht="15.0" customHeight="true">
      <c r="A153" s="319">
        <f>IF(B:B&lt;&gt;"",("TC_REFER_SET_"&amp;CONCATENATE("00",ROW()-9)),"")</f>
      </c>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row>
    <row r="154" ht="15.0" customHeight="true">
      <c r="A154" s="319">
        <f>IF(B:B&lt;&gt;"",("TC_REFER_SET_"&amp;CONCATENATE("00",ROW()-9)),"")</f>
      </c>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row>
    <row r="155" ht="15.0" customHeight="true">
      <c r="A155" s="319">
        <f>IF(B:B&lt;&gt;"",("TC_REFER_SET_"&amp;CONCATENATE("00",ROW()-9)),"")</f>
      </c>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c r="AA155" s="319"/>
    </row>
    <row r="156" ht="15.0" customHeight="true">
      <c r="A156" s="319">
        <f>IF(B:B&lt;&gt;"",("TC_REFER_SET_"&amp;CONCATENATE("00",ROW()-9)),"")</f>
      </c>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c r="AA156" s="319"/>
    </row>
    <row r="157" ht="15.0" customHeight="true">
      <c r="A157" s="319">
        <f>IF(B:B&lt;&gt;"",("TC_REFER_SET_"&amp;CONCATENATE("00",ROW()-9)),"")</f>
      </c>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c r="AA157" s="319"/>
    </row>
    <row r="158" ht="15.0" customHeight="true">
      <c r="A158" s="319">
        <f>IF(B:B&lt;&gt;"",("TC_REFER_SET_"&amp;CONCATENATE("00",ROW()-9)),"")</f>
      </c>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row>
    <row r="159" ht="15.0" customHeight="true">
      <c r="A159" s="319">
        <f>IF(B:B&lt;&gt;"",("TC_REFER_SET_"&amp;CONCATENATE("00",ROW()-9)),"")</f>
      </c>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row>
    <row r="160" ht="15.0" customHeight="true">
      <c r="A160" s="319">
        <f>IF(B:B&lt;&gt;"",("TC_REFER_SET_"&amp;CONCATENATE("00",ROW()-9)),"")</f>
      </c>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row>
    <row r="161" ht="15.0" customHeight="true">
      <c r="A161" s="319">
        <f>IF(B:B&lt;&gt;"",("TC_REFER_SET_"&amp;CONCATENATE("00",ROW()-9)),"")</f>
      </c>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row>
    <row r="162" ht="15.0" customHeight="true">
      <c r="A162" s="319">
        <f>IF(B:B&lt;&gt;"",("TC_REFER_SET_"&amp;CONCATENATE("00",ROW()-9)),"")</f>
      </c>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row>
    <row r="163" ht="15.0" customHeight="true">
      <c r="A163" s="319">
        <f>IF(B:B&lt;&gt;"",("TC_REFER_SET_"&amp;CONCATENATE("00",ROW()-9)),"")</f>
      </c>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row>
    <row r="164" ht="15.0" customHeight="true">
      <c r="A164" s="319">
        <f>IF(B:B&lt;&gt;"",("TC_REFER_SET_"&amp;CONCATENATE("00",ROW()-9)),"")</f>
      </c>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row>
    <row r="165" ht="15.0" customHeight="true">
      <c r="A165" s="319">
        <f>IF(B:B&lt;&gt;"",("TC_REFER_SET_"&amp;CONCATENATE("00",ROW()-9)),"")</f>
      </c>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row>
    <row r="166" ht="15.0" customHeight="true">
      <c r="A166" s="319">
        <f>IF(B:B&lt;&gt;"",("TC_REFER_SET_"&amp;CONCATENATE("00",ROW()-9)),"")</f>
      </c>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row>
    <row r="167" ht="15.0" customHeight="true">
      <c r="A167" s="319">
        <f>IF(B:B&lt;&gt;"",("TC_REFER_SET_"&amp;CONCATENATE("00",ROW()-9)),"")</f>
      </c>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row>
    <row r="168" ht="15.0" customHeight="true">
      <c r="A168" s="319">
        <f>IF(B:B&lt;&gt;"",("TC_REFER_SET_"&amp;CONCATENATE("00",ROW()-9)),"")</f>
      </c>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row>
    <row r="169" ht="15.0" customHeight="true">
      <c r="A169" s="319">
        <f>IF(B:B&lt;&gt;"",("TC_REFER_SET_"&amp;CONCATENATE("00",ROW()-9)),"")</f>
      </c>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row>
    <row r="170" ht="15.0" customHeight="true">
      <c r="A170" s="319">
        <f>IF(B:B&lt;&gt;"",("TC_REFER_SET_"&amp;CONCATENATE("00",ROW()-9)),"")</f>
      </c>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row>
    <row r="171" ht="15.0" customHeight="true">
      <c r="A171" s="319">
        <f>IF(B:B&lt;&gt;"",("TC_REFER_SET_"&amp;CONCATENATE("00",ROW()-9)),"")</f>
      </c>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row>
    <row r="172" ht="15.0" customHeight="true">
      <c r="A172" s="319">
        <f>IF(B:B&lt;&gt;"",("TC_REFER_SET_"&amp;CONCATENATE("00",ROW()-9)),"")</f>
      </c>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row>
    <row r="173" ht="15.0" customHeight="true">
      <c r="A173" s="319">
        <f>IF(B:B&lt;&gt;"",("TC_REFER_SET_"&amp;CONCATENATE("00",ROW()-9)),"")</f>
      </c>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row>
    <row r="174" ht="15.0" customHeight="true">
      <c r="A174" s="319">
        <f>IF(B:B&lt;&gt;"",("TC_REFER_SET_"&amp;CONCATENATE("00",ROW()-9)),"")</f>
      </c>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row>
    <row r="175" ht="15.0" customHeight="true">
      <c r="A175" s="319">
        <f>IF(B:B&lt;&gt;"",("TC_REFER_SET_"&amp;CONCATENATE("00",ROW()-9)),"")</f>
      </c>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row>
    <row r="176" ht="15.0" customHeight="true">
      <c r="A176" s="319">
        <f>IF(B:B&lt;&gt;"",("TC_REFER_SET_"&amp;CONCATENATE("00",ROW()-9)),"")</f>
      </c>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row>
    <row r="177" ht="15.0" customHeight="true">
      <c r="A177" s="319">
        <f>IF(B:B&lt;&gt;"",("TC_REFER_SET_"&amp;CONCATENATE("00",ROW()-9)),"")</f>
      </c>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row>
    <row r="178" ht="15.0" customHeight="true">
      <c r="A178" s="319">
        <f>IF(B:B&lt;&gt;"",("TC_REFER_SET_"&amp;CONCATENATE("00",ROW()-9)),"")</f>
      </c>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row>
    <row r="179" ht="15.0" customHeight="true">
      <c r="A179" s="319">
        <f>IF(B:B&lt;&gt;"",("TC_REFER_SET_"&amp;CONCATENATE("00",ROW()-9)),"")</f>
      </c>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row>
    <row r="180" ht="15.0" customHeight="true">
      <c r="A180" s="319">
        <f>IF(B:B&lt;&gt;"",("TC_REFER_SET_"&amp;CONCATENATE("00",ROW()-9)),"")</f>
      </c>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row>
    <row r="181" ht="15.0" customHeight="true">
      <c r="A181" s="319">
        <f>IF(B:B&lt;&gt;"",("TC_REFER_SET_"&amp;CONCATENATE("00",ROW()-9)),"")</f>
      </c>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row>
    <row r="182" ht="15.0" customHeight="true">
      <c r="A182" s="319">
        <f>IF(B:B&lt;&gt;"",("TC_REFER_SET_"&amp;CONCATENATE("00",ROW()-9)),"")</f>
      </c>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row>
    <row r="183" ht="15.0" customHeight="true">
      <c r="A183" s="319">
        <f>IF(B:B&lt;&gt;"",("TC_REFER_SET_"&amp;CONCATENATE("00",ROW()-9)),"")</f>
      </c>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row>
    <row r="184" ht="15.0" customHeight="true">
      <c r="A184" s="319">
        <f>IF(B:B&lt;&gt;"",("TC_REFER_SET_"&amp;CONCATENATE("00",ROW()-9)),"")</f>
      </c>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row>
    <row r="185" ht="15.0" customHeight="true">
      <c r="A185" s="319">
        <f>IF(B:B&lt;&gt;"",("TC_REFER_SET_"&amp;CONCATENATE("00",ROW()-9)),"")</f>
      </c>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row>
    <row r="186" ht="15.0" customHeight="true">
      <c r="A186" s="319">
        <f>IF(B:B&lt;&gt;"",("TC_REFER_SET_"&amp;CONCATENATE("00",ROW()-9)),"")</f>
      </c>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row>
    <row r="187" ht="15.0" customHeight="true">
      <c r="A187" s="319">
        <f>IF(B:B&lt;&gt;"",("TC_REFER_SET_"&amp;CONCATENATE("00",ROW()-9)),"")</f>
      </c>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row>
    <row r="188" ht="15.0" customHeight="true">
      <c r="A188" s="319">
        <f>IF(B:B&lt;&gt;"",("TC_REFER_SET_"&amp;CONCATENATE("00",ROW()-9)),"")</f>
      </c>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row>
    <row r="189" ht="15.0" customHeight="true">
      <c r="A189" s="319">
        <f>IF(B:B&lt;&gt;"",("TC_REFER_SET_"&amp;CONCATENATE("00",ROW()-9)),"")</f>
      </c>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row>
    <row r="190" ht="15.0" customHeight="true">
      <c r="A190" s="319">
        <f>IF(B:B&lt;&gt;"",("TC_REFER_SET_"&amp;CONCATENATE("00",ROW()-9)),"")</f>
      </c>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row>
    <row r="191" ht="15.0" customHeight="true">
      <c r="A191" s="319">
        <f>IF(B:B&lt;&gt;"",("TC_REFER_SET_"&amp;CONCATENATE("00",ROW()-9)),"")</f>
      </c>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row>
    <row r="192" ht="15.0" customHeight="true">
      <c r="A192" s="319">
        <f>IF(B:B&lt;&gt;"",("TC_REFER_SET_"&amp;CONCATENATE("00",ROW()-9)),"")</f>
      </c>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row>
    <row r="193" ht="15.0" customHeight="true">
      <c r="A193" s="319">
        <f>IF(B:B&lt;&gt;"",("TC_REFER_SET_"&amp;CONCATENATE("00",ROW()-9)),"")</f>
      </c>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row>
    <row r="194" ht="15.0" customHeight="true">
      <c r="A194" s="319">
        <f>IF(B:B&lt;&gt;"",("TC_REFER_SET_"&amp;CONCATENATE("00",ROW()-9)),"")</f>
      </c>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row>
    <row r="195" ht="15.0" customHeight="true">
      <c r="A195" s="319">
        <f>IF(B:B&lt;&gt;"",("TC_REFER_SET_"&amp;CONCATENATE("00",ROW()-9)),"")</f>
      </c>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row>
    <row r="196" ht="15.0" customHeight="true">
      <c r="A196" s="319">
        <f>IF(B:B&lt;&gt;"",("TC_REFER_SET_"&amp;CONCATENATE("00",ROW()-9)),"")</f>
      </c>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row>
    <row r="197" ht="15.0" customHeight="true">
      <c r="A197" s="319">
        <f>IF(B:B&lt;&gt;"",("TC_REFER_SET_"&amp;CONCATENATE("00",ROW()-9)),"")</f>
      </c>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row>
    <row r="198" ht="15.0" customHeight="true">
      <c r="A198" s="319">
        <f>IF(B:B&lt;&gt;"",("TC_REFER_SET_"&amp;CONCATENATE("00",ROW()-9)),"")</f>
      </c>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row>
    <row r="199" ht="15.0" customHeight="true">
      <c r="A199" s="319">
        <f>IF(B:B&lt;&gt;"",("TC_REFER_SET_"&amp;CONCATENATE("00",ROW()-9)),"")</f>
      </c>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row>
    <row r="200" ht="15.0" customHeight="true">
      <c r="A200" s="319">
        <f>IF(B:B&lt;&gt;"",("TC_REFER_SET_"&amp;CONCATENATE("00",ROW()-9)),"")</f>
      </c>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row>
    <row r="201" ht="15.0" customHeight="true">
      <c r="A201" s="319">
        <f>IF(B:B&lt;&gt;"",("TC_REFER_SET_"&amp;CONCATENATE("00",ROW()-9)),"")</f>
      </c>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row>
    <row r="202" ht="15.0" customHeight="true">
      <c r="A202" s="319">
        <f>IF(B:B&lt;&gt;"",("TC_REFER_SET_"&amp;CONCATENATE("00",ROW()-9)),"")</f>
      </c>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row>
    <row r="203" ht="15.0" customHeight="true">
      <c r="A203" s="319">
        <f>IF(B:B&lt;&gt;"",("TC_REFER_SET_"&amp;CONCATENATE("00",ROW()-9)),"")</f>
      </c>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row>
    <row r="204" ht="15.0" customHeight="true">
      <c r="A204" s="319">
        <f>IF(B:B&lt;&gt;"",("TC_REFER_SET_"&amp;CONCATENATE("00",ROW()-9)),"")</f>
      </c>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row>
    <row r="205" ht="15.0" customHeight="true">
      <c r="A205" s="319">
        <f>IF(B:B&lt;&gt;"",("TC_REFER_SET_"&amp;CONCATENATE("00",ROW()-9)),"")</f>
      </c>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row>
    <row r="206" ht="15.0" customHeight="true">
      <c r="A206" s="319">
        <f>IF(B:B&lt;&gt;"",("TC_REFER_SET_"&amp;CONCATENATE("00",ROW()-9)),"")</f>
      </c>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row>
    <row r="207" ht="15.0" customHeight="true">
      <c r="A207" s="319">
        <f>IF(B:B&lt;&gt;"",("TC_REFER_SET_"&amp;CONCATENATE("00",ROW()-9)),"")</f>
      </c>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row>
    <row r="208" ht="15.0" customHeight="true">
      <c r="A208" s="319">
        <f>IF(B:B&lt;&gt;"",("TC_REFER_SET_"&amp;CONCATENATE("00",ROW()-9)),"")</f>
      </c>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row>
    <row r="209" ht="15.0" customHeight="true">
      <c r="A209" s="319">
        <f>IF(B:B&lt;&gt;"",("TC_REFER_SET_"&amp;CONCATENATE("00",ROW()-9)),"")</f>
      </c>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row>
    <row r="210" ht="15.0" customHeight="true">
      <c r="A210" s="319">
        <f>IF(B:B&lt;&gt;"",("TC_REFER_SET_"&amp;CONCATENATE("00",ROW()-9)),"")</f>
      </c>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row>
    <row r="211" ht="15.0" customHeight="true">
      <c r="A211" s="319">
        <f>IF(B:B&lt;&gt;"",("TC_REFER_SET_"&amp;CONCATENATE("00",ROW()-9)),"")</f>
      </c>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row>
    <row r="212" ht="15.0" customHeight="true">
      <c r="A212" s="319">
        <f>IF(B:B&lt;&gt;"",("TC_REFER_SET_"&amp;CONCATENATE("00",ROW()-9)),"")</f>
      </c>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row>
    <row r="213" ht="15.0" customHeight="true">
      <c r="A213" s="319">
        <f>IF(B:B&lt;&gt;"",("TC_REFER_SET_"&amp;CONCATENATE("00",ROW()-9)),"")</f>
      </c>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row>
    <row r="214" ht="15.0" customHeight="true">
      <c r="A214" s="319">
        <f>IF(B:B&lt;&gt;"",("TC_REFER_SET_"&amp;CONCATENATE("00",ROW()-9)),"")</f>
      </c>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row>
    <row r="215" ht="15.0" customHeight="true">
      <c r="A215" s="319">
        <f>IF(B:B&lt;&gt;"",("TC_REFER_SET_"&amp;CONCATENATE("00",ROW()-9)),"")</f>
      </c>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row>
    <row r="216" ht="15.0" customHeight="true">
      <c r="A216" s="319">
        <f>IF(B:B&lt;&gt;"",("TC_REFER_SET_"&amp;CONCATENATE("00",ROW()-9)),"")</f>
      </c>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row>
    <row r="217" ht="15.0" customHeight="true">
      <c r="A217" s="319">
        <f>IF(B:B&lt;&gt;"",("TC_REFER_SET_"&amp;CONCATENATE("00",ROW()-9)),"")</f>
      </c>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row>
    <row r="218" ht="15.0" customHeight="true">
      <c r="A218" s="319">
        <f>IF(B:B&lt;&gt;"",("TC_REFER_SET_"&amp;CONCATENATE("00",ROW()-9)),"")</f>
      </c>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row>
    <row r="219" ht="15.0" customHeight="true">
      <c r="A219" s="319">
        <f>IF(B:B&lt;&gt;"",("TC_REFER_SET_"&amp;CONCATENATE("00",ROW()-9)),"")</f>
      </c>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row>
    <row r="220" ht="15.0" customHeight="true">
      <c r="A220" s="319">
        <f>IF(B:B&lt;&gt;"",("TC_REFER_SET_"&amp;CONCATENATE("00",ROW()-9)),"")</f>
      </c>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row>
    <row r="221" ht="15.0" customHeight="true">
      <c r="A221" s="319">
        <f>IF(B:B&lt;&gt;"",("TC_REFER_SET_"&amp;CONCATENATE("00",ROW()-9)),"")</f>
      </c>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row>
    <row r="222" ht="15.0" customHeight="true">
      <c r="A222" s="319">
        <f>IF(B:B&lt;&gt;"",("TC_REFER_SET_"&amp;CONCATENATE("00",ROW()-9)),"")</f>
      </c>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row>
    <row r="223" ht="15.0" customHeight="true">
      <c r="A223" s="319">
        <f>IF(B:B&lt;&gt;"",("TC_REFER_SET_"&amp;CONCATENATE("00",ROW()-9)),"")</f>
      </c>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row>
    <row r="224" ht="15.0" customHeight="true">
      <c r="A224" s="319">
        <f>IF(B:B&lt;&gt;"",("TC_REFER_SET_"&amp;CONCATENATE("00",ROW()-9)),"")</f>
      </c>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row>
    <row r="225" ht="15.0" customHeight="true">
      <c r="A225" s="319">
        <f>IF(B:B&lt;&gt;"",("TC_REFER_SET_"&amp;CONCATENATE("00",ROW()-9)),"")</f>
      </c>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row>
    <row r="226" ht="15.0" customHeight="true">
      <c r="A226" s="319">
        <f>IF(B:B&lt;&gt;"",("TC_REFER_SET_"&amp;CONCATENATE("00",ROW()-9)),"")</f>
      </c>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row>
    <row r="227" ht="15.0" customHeight="true">
      <c r="A227" s="319">
        <f>IF(B:B&lt;&gt;"",("TC_REFER_SET_"&amp;CONCATENATE("00",ROW()-9)),"")</f>
      </c>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row>
    <row r="228" ht="15.0" customHeight="true">
      <c r="A228" s="319">
        <f>IF(B:B&lt;&gt;"",("TC_REFER_SET_"&amp;CONCATENATE("00",ROW()-9)),"")</f>
      </c>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row>
    <row r="229" ht="15.0" customHeight="true">
      <c r="A229" s="319">
        <f>IF(B:B&lt;&gt;"",("TC_REFER_SET_"&amp;CONCATENATE("00",ROW()-9)),"")</f>
      </c>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row>
    <row r="230" ht="15.0" customHeight="true">
      <c r="A230" s="319">
        <f>IF(B:B&lt;&gt;"",("TC_REFER_SET_"&amp;CONCATENATE("00",ROW()-9)),"")</f>
      </c>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row>
    <row r="231" ht="15.0" customHeight="true">
      <c r="A231" s="319">
        <f>IF(B:B&lt;&gt;"",("TC_REFER_SET_"&amp;CONCATENATE("00",ROW()-9)),"")</f>
      </c>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row>
    <row r="232" ht="15.0" customHeight="true">
      <c r="A232" s="319">
        <f>IF(B:B&lt;&gt;"",("TC_REFER_SET_"&amp;CONCATENATE("00",ROW()-9)),"")</f>
      </c>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row>
    <row r="233" ht="15.0" customHeight="true">
      <c r="A233" s="319">
        <f>IF(B:B&lt;&gt;"",("TC_REFER_SET_"&amp;CONCATENATE("00",ROW()-9)),"")</f>
      </c>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row>
    <row r="234" ht="15.0" customHeight="true">
      <c r="A234" s="319">
        <f>IF(B:B&lt;&gt;"",("TC_REFER_SET_"&amp;CONCATENATE("00",ROW()-9)),"")</f>
      </c>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row>
    <row r="235" ht="15.0" customHeight="true">
      <c r="A235" s="319">
        <f>IF(B:B&lt;&gt;"",("TC_REFER_SET_"&amp;CONCATENATE("00",ROW()-9)),"")</f>
      </c>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row>
    <row r="236" ht="15.0" customHeight="true">
      <c r="A236" s="319">
        <f>IF(B:B&lt;&gt;"",("TC_REFER_SET_"&amp;CONCATENATE("00",ROW()-9)),"")</f>
      </c>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row>
    <row r="237" ht="15.0" customHeight="true">
      <c r="A237" s="319">
        <f>IF(B:B&lt;&gt;"",("TC_REFER_SET_"&amp;CONCATENATE("00",ROW()-9)),"")</f>
      </c>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row>
    <row r="238" ht="15.0" customHeight="true">
      <c r="A238" s="319">
        <f>IF(B:B&lt;&gt;"",("TC_REFER_SET_"&amp;CONCATENATE("00",ROW()-9)),"")</f>
      </c>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row>
    <row r="239" ht="15.0" customHeight="true">
      <c r="A239" s="319">
        <f>IF(B:B&lt;&gt;"",("TC_REFER_SET_"&amp;CONCATENATE("00",ROW()-9)),"")</f>
      </c>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row>
    <row r="240" ht="15.0" customHeight="true">
      <c r="A240" s="319">
        <f>IF(B:B&lt;&gt;"",("TC_REFER_SET_"&amp;CONCATENATE("00",ROW()-9)),"")</f>
      </c>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row>
    <row r="241" ht="15.0" customHeight="true">
      <c r="A241" s="319">
        <f>IF(B:B&lt;&gt;"",("TC_REFER_SET_"&amp;CONCATENATE("00",ROW()-9)),"")</f>
      </c>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row>
    <row r="242" ht="15.0" customHeight="true">
      <c r="A242" s="319">
        <f>IF(B:B&lt;&gt;"",("TC_REFER_SET_"&amp;CONCATENATE("00",ROW()-9)),"")</f>
      </c>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row>
    <row r="243" ht="15.0" customHeight="true">
      <c r="A243" s="319">
        <f>IF(B:B&lt;&gt;"",("TC_REFER_SET_"&amp;CONCATENATE("00",ROW()-9)),"")</f>
      </c>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row>
    <row r="244" ht="15.0" customHeight="true">
      <c r="A244" s="319"/>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row>
    <row r="245" ht="15.0" customHeight="true">
      <c r="A245" s="319"/>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row>
    <row r="246" ht="15.0" customHeight="true">
      <c r="A246" s="319"/>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row>
    <row r="247" ht="15.0" customHeight="true">
      <c r="A247" s="319"/>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row>
    <row r="248" ht="15.0" customHeight="true">
      <c r="A248" s="319"/>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row>
    <row r="249" ht="15.0" customHeight="true">
      <c r="A249" s="319"/>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row>
    <row r="250" ht="15.0" customHeight="true">
      <c r="A250" s="319"/>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row>
    <row r="251" ht="15.0" customHeight="true">
      <c r="A251" s="319"/>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row>
    <row r="252" ht="15.0" customHeight="true">
      <c r="A252" s="319"/>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row>
    <row r="253" ht="15.0" customHeight="true">
      <c r="A253" s="319"/>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row>
    <row r="254" ht="15.0" customHeight="true">
      <c r="A254" s="319"/>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row>
    <row r="255" ht="15.0" customHeight="true">
      <c r="A255" s="319"/>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row>
    <row r="256" ht="15.0" customHeight="true">
      <c r="A256" s="319"/>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row>
    <row r="257" ht="15.0" customHeight="true">
      <c r="A257" s="319"/>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row>
    <row r="258" ht="15.0" customHeight="true">
      <c r="A258" s="319"/>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row>
    <row r="259" ht="15.0" customHeight="true">
      <c r="A259" s="319"/>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row>
    <row r="260" ht="15.0" customHeight="true">
      <c r="A260" s="319"/>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row>
    <row r="261" ht="15.0" customHeight="true">
      <c r="A261" s="319"/>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row>
    <row r="262" ht="15.0" customHeight="true">
      <c r="A262" s="319"/>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row>
    <row r="263" ht="15.0" customHeight="true">
      <c r="A263" s="319"/>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row>
    <row r="264" ht="15.0" customHeight="true">
      <c r="A264" s="319"/>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row>
    <row r="265" ht="15.0" customHeight="true">
      <c r="A265" s="319"/>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row>
    <row r="266" ht="15.0" customHeight="true">
      <c r="A266" s="319"/>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row>
    <row r="267" ht="15.0" customHeight="true">
      <c r="A267" s="319"/>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row>
    <row r="268" ht="15.0" customHeight="true">
      <c r="A268" s="319"/>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row>
    <row r="269" ht="15.0" customHeight="true">
      <c r="A269" s="319"/>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row>
    <row r="270" ht="15.0" customHeight="true">
      <c r="A270" s="319"/>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row>
    <row r="271" ht="15.0" customHeight="true">
      <c r="A271" s="319"/>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row>
    <row r="272" ht="15.0" customHeight="true">
      <c r="A272" s="319"/>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row>
    <row r="273" ht="15.0" customHeight="true">
      <c r="A273" s="319"/>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row>
    <row r="274" ht="15.0" customHeight="true">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row>
    <row r="275" ht="15.0" customHeight="true">
      <c r="A275" s="319"/>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row>
    <row r="276" ht="15.0" customHeight="true">
      <c r="A276" s="319"/>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row>
    <row r="277" ht="15.0" customHeight="true">
      <c r="A277" s="319"/>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row>
    <row r="278" ht="15.0" customHeight="true">
      <c r="A278" s="319"/>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row>
    <row r="279" ht="15.0" customHeight="true">
      <c r="A279" s="319"/>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row>
    <row r="280" ht="15.0" customHeight="true">
      <c r="A280" s="319"/>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row>
    <row r="281" ht="15.0" customHeight="true">
      <c r="A281" s="319"/>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row>
    <row r="282" ht="15.0" customHeight="true">
      <c r="A282" s="319"/>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row>
    <row r="283" ht="15.0" customHeight="true">
      <c r="A283" s="319"/>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row>
    <row r="284" ht="15.0" customHeight="true">
      <c r="A284" s="319"/>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row>
    <row r="285" ht="15.0" customHeight="true">
      <c r="A285" s="319"/>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row>
    <row r="286" ht="15.0" customHeight="true">
      <c r="A286" s="319"/>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row>
    <row r="287" ht="15.0" customHeight="true">
      <c r="A287" s="319"/>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row>
    <row r="288" ht="15.0" customHeight="true">
      <c r="A288" s="319"/>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row>
    <row r="289" ht="15.0" customHeight="true">
      <c r="A289" s="319"/>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row>
    <row r="290" ht="15.0" customHeight="true">
      <c r="A290" s="319"/>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row>
    <row r="291" ht="15.0" customHeight="true">
      <c r="A291" s="319"/>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row>
    <row r="292" ht="15.0" customHeight="true">
      <c r="A292" s="319"/>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row>
    <row r="293" ht="15.0" customHeight="true">
      <c r="A293" s="319"/>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row>
    <row r="294" ht="15.0" customHeight="true">
      <c r="A294" s="319"/>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row>
    <row r="295" ht="15.0" customHeight="true">
      <c r="A295" s="319"/>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row>
    <row r="296" ht="15.0" customHeight="true">
      <c r="A296" s="319"/>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row>
    <row r="297" ht="15.0" customHeight="true">
      <c r="A297" s="319"/>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row>
    <row r="298" ht="15.0" customHeight="true">
      <c r="A298" s="319"/>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row>
    <row r="299" ht="15.0" customHeight="true">
      <c r="A299" s="319"/>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row>
    <row r="300" ht="15.0" customHeight="true">
      <c r="A300" s="319"/>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row>
    <row r="301" ht="15.0" customHeight="true">
      <c r="A301" s="319"/>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row>
    <row r="302" ht="15.0" customHeight="true">
      <c r="A302" s="319"/>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row>
    <row r="303" ht="15.0" customHeight="true">
      <c r="A303" s="319"/>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row>
    <row r="304" ht="15.0" customHeight="true">
      <c r="A304" s="319"/>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row>
    <row r="305" ht="15.0" customHeight="true">
      <c r="A305" s="319"/>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row>
    <row r="306" ht="15.0" customHeight="true">
      <c r="A306" s="319"/>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row>
    <row r="307" ht="15.0" customHeight="true">
      <c r="A307" s="319"/>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row>
    <row r="308" ht="15.0" customHeight="true">
      <c r="A308" s="319"/>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row>
    <row r="309" ht="15.0" customHeight="true">
      <c r="A309" s="319"/>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row>
    <row r="310" ht="15.0" customHeight="true">
      <c r="A310" s="319"/>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row>
    <row r="311" ht="15.0" customHeight="true">
      <c r="A311" s="319"/>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row>
    <row r="312" ht="15.0" customHeight="true">
      <c r="A312" s="319"/>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row>
    <row r="313" ht="15.0" customHeight="true">
      <c r="A313" s="319"/>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row>
    <row r="314" ht="15.0" customHeight="true">
      <c r="A314" s="319"/>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row>
    <row r="315" ht="15.0" customHeight="true">
      <c r="A315" s="319"/>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row>
    <row r="316" ht="15.0" customHeight="true">
      <c r="A316" s="319"/>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row>
    <row r="317" ht="15.0" customHeight="true">
      <c r="A317" s="319"/>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row>
    <row r="318" ht="15.0" customHeight="true">
      <c r="A318" s="319"/>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row>
    <row r="319" ht="15.0" customHeight="true">
      <c r="A319" s="319"/>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row>
    <row r="320" ht="15.0" customHeight="true">
      <c r="A320" s="319"/>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row>
    <row r="321" ht="15.0" customHeight="true">
      <c r="A321" s="319"/>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row>
    <row r="322" ht="15.0" customHeight="true">
      <c r="A322" s="319"/>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row>
    <row r="323" ht="15.0" customHeight="true">
      <c r="A323" s="319"/>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c r="AA323" s="319"/>
    </row>
    <row r="324" ht="15.0" customHeight="true">
      <c r="A324" s="319"/>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c r="AA324" s="319"/>
    </row>
    <row r="325" ht="15.0" customHeight="true">
      <c r="A325" s="319"/>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row>
    <row r="326" ht="15.0" customHeight="true">
      <c r="A326" s="319"/>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row>
    <row r="327" ht="15.0" customHeight="true">
      <c r="A327" s="319"/>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row>
    <row r="328" ht="15.0" customHeight="true">
      <c r="A328" s="319"/>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row>
    <row r="329" ht="15.0" customHeight="true">
      <c r="A329" s="319"/>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c r="AA329" s="319"/>
    </row>
    <row r="330" ht="15.0" customHeight="true">
      <c r="A330" s="319"/>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c r="AA330" s="319"/>
    </row>
    <row r="331" ht="15.0" customHeight="true">
      <c r="A331" s="319"/>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c r="AA331" s="319"/>
    </row>
    <row r="332" ht="15.0" customHeight="true">
      <c r="A332" s="319"/>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c r="AA332" s="319"/>
    </row>
    <row r="333" ht="15.0" customHeight="true">
      <c r="A333" s="319"/>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c r="AA333" s="319"/>
    </row>
    <row r="334" ht="15.0" customHeight="true">
      <c r="A334" s="319"/>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c r="AA334" s="319"/>
    </row>
    <row r="335" ht="15.0" customHeight="true">
      <c r="A335" s="319"/>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row>
    <row r="336" ht="15.0" customHeight="true">
      <c r="A336" s="319"/>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c r="AA336" s="319"/>
    </row>
    <row r="337" ht="15.0" customHeight="true">
      <c r="A337" s="319"/>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row>
    <row r="338" ht="15.0" customHeight="true">
      <c r="A338" s="319"/>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row>
    <row r="339" ht="15.0" customHeight="true">
      <c r="A339" s="319"/>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row>
    <row r="340" ht="15.0" customHeight="true">
      <c r="A340" s="319"/>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c r="AA340" s="319"/>
    </row>
    <row r="341" ht="15.0" customHeight="true">
      <c r="A341" s="319"/>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c r="AA341" s="319"/>
    </row>
    <row r="342" ht="15.0" customHeight="true">
      <c r="A342" s="319"/>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row>
    <row r="343" ht="15.0" customHeight="true">
      <c r="A343" s="319"/>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row>
    <row r="344" ht="15.0" customHeight="true">
      <c r="A344" s="319"/>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row>
    <row r="345" ht="15.0" customHeight="true">
      <c r="A345" s="319"/>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c r="AA345" s="319"/>
    </row>
    <row r="346" ht="15.0" customHeight="true">
      <c r="A346" s="319"/>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c r="AA346" s="319"/>
    </row>
    <row r="347" ht="15.0" customHeight="true">
      <c r="A347" s="319"/>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c r="AA347" s="319"/>
    </row>
    <row r="348" ht="15.0" customHeight="true">
      <c r="A348" s="319"/>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c r="AA348" s="319"/>
    </row>
    <row r="349" ht="15.0" customHeight="true">
      <c r="A349" s="319"/>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row>
    <row r="350" ht="15.0" customHeight="true">
      <c r="A350" s="319"/>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row>
    <row r="351" ht="15.0" customHeight="true">
      <c r="A351" s="319"/>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row>
    <row r="352" ht="15.0" customHeight="true">
      <c r="A352" s="319"/>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row>
    <row r="353" ht="15.0" customHeight="true">
      <c r="A353" s="319"/>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c r="AA353" s="319"/>
    </row>
    <row r="354" ht="15.0" customHeight="true">
      <c r="A354" s="319"/>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row>
    <row r="355" ht="15.0" customHeight="true">
      <c r="A355" s="319"/>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c r="AA355" s="319"/>
    </row>
    <row r="356" ht="15.0" customHeight="true">
      <c r="A356" s="319"/>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c r="AA356" s="319"/>
    </row>
    <row r="357" ht="15.0" customHeight="true">
      <c r="A357" s="319"/>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c r="AA357" s="319"/>
    </row>
    <row r="358" ht="15.0" customHeight="true">
      <c r="A358" s="319"/>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c r="AA358" s="319"/>
    </row>
    <row r="359" ht="15.0" customHeight="true">
      <c r="A359" s="319"/>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row>
    <row r="360" ht="15.0" customHeight="true">
      <c r="A360" s="319"/>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row>
    <row r="361" ht="15.0" customHeight="true">
      <c r="A361" s="319"/>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row>
    <row r="362" ht="15.0" customHeight="true">
      <c r="A362" s="319"/>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row>
    <row r="363" ht="15.0" customHeight="true">
      <c r="A363" s="319"/>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c r="AA363" s="319"/>
    </row>
    <row r="364" ht="15.0" customHeight="true">
      <c r="A364" s="319"/>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row>
    <row r="365" ht="15.0" customHeight="true">
      <c r="A365" s="319"/>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c r="AA365" s="319"/>
    </row>
    <row r="366" ht="15.0" customHeight="true">
      <c r="A366" s="319"/>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c r="AA366" s="319"/>
    </row>
    <row r="367" ht="15.0" customHeight="true">
      <c r="A367" s="319"/>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row>
    <row r="368" ht="15.0" customHeight="true">
      <c r="A368" s="319"/>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row>
    <row r="369" ht="15.0" customHeight="true">
      <c r="A369" s="319"/>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row>
    <row r="370" ht="15.0" customHeight="true">
      <c r="A370" s="319"/>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row>
    <row r="371" ht="15.0" customHeight="true">
      <c r="A371" s="319"/>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row>
    <row r="372" ht="15.0" customHeight="true">
      <c r="A372" s="319"/>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row>
    <row r="373" ht="15.0" customHeight="true">
      <c r="A373" s="319"/>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row>
    <row r="374" ht="15.0" customHeight="true">
      <c r="A374" s="319"/>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row>
    <row r="375" ht="15.0" customHeight="true">
      <c r="A375" s="319"/>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row>
    <row r="376" ht="15.0" customHeight="true">
      <c r="A376" s="319"/>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row>
    <row r="377" ht="15.0" customHeight="true">
      <c r="A377" s="319"/>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row>
    <row r="378" ht="15.0" customHeight="true">
      <c r="A378" s="319"/>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row>
    <row r="379" ht="15.0" customHeight="true">
      <c r="A379" s="319"/>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row>
    <row r="380" ht="15.0" customHeight="true">
      <c r="A380" s="319"/>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row>
    <row r="381" ht="15.0" customHeight="true">
      <c r="A381" s="319"/>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row>
    <row r="382" ht="15.0" customHeight="true">
      <c r="A382" s="319"/>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row>
    <row r="383" ht="15.0" customHeight="true">
      <c r="A383" s="319"/>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row>
    <row r="384" ht="15.0" customHeight="true">
      <c r="A384" s="319"/>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row>
    <row r="385" ht="15.0" customHeight="true">
      <c r="A385" s="319"/>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row>
    <row r="386" ht="15.0" customHeight="true">
      <c r="A386" s="319"/>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row>
    <row r="387" ht="15.0" customHeight="true">
      <c r="A387" s="319"/>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row>
    <row r="388" ht="15.0" customHeight="true">
      <c r="A388" s="319"/>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row>
    <row r="389" ht="15.0" customHeight="true">
      <c r="A389" s="319"/>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row>
    <row r="390" ht="15.0" customHeight="true">
      <c r="A390" s="319"/>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row>
    <row r="391" ht="15.0" customHeight="true">
      <c r="A391" s="319"/>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row>
    <row r="392" ht="15.0" customHeight="true">
      <c r="A392" s="319"/>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row>
    <row r="393" ht="15.0" customHeight="true">
      <c r="A393" s="319"/>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row>
    <row r="394" ht="15.0" customHeight="true">
      <c r="A394" s="319"/>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row>
    <row r="395" ht="15.0" customHeight="true">
      <c r="A395" s="319"/>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row>
    <row r="396" ht="15.0" customHeight="true">
      <c r="A396" s="319"/>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row>
    <row r="397" ht="15.0" customHeight="true">
      <c r="A397" s="319"/>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row>
    <row r="398" ht="15.0" customHeight="true">
      <c r="A398" s="319"/>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row>
    <row r="399" ht="15.0" customHeight="true">
      <c r="A399" s="319"/>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row>
    <row r="400" ht="15.0" customHeight="true">
      <c r="A400" s="319"/>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row>
    <row r="401" ht="15.0" customHeight="true">
      <c r="A401" s="319"/>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row>
    <row r="402" ht="15.0" customHeight="true">
      <c r="A402" s="319"/>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row>
    <row r="403" ht="15.0" customHeight="true">
      <c r="A403" s="319"/>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row>
    <row r="404" ht="15.0" customHeight="true">
      <c r="A404" s="319"/>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row>
    <row r="405" ht="15.0" customHeight="true">
      <c r="A405" s="319"/>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row>
    <row r="406" ht="15.0" customHeight="true">
      <c r="A406" s="319"/>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row>
    <row r="407" ht="15.0" customHeight="true">
      <c r="A407" s="319"/>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row>
    <row r="408" ht="15.0" customHeight="true">
      <c r="A408" s="319"/>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row>
    <row r="409" ht="15.0" customHeight="true">
      <c r="A409" s="319"/>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row>
    <row r="410" ht="15.0" customHeight="true">
      <c r="A410" s="319"/>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row>
    <row r="411" ht="15.0" customHeight="true">
      <c r="A411" s="319"/>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row>
    <row r="412" ht="15.0" customHeight="true">
      <c r="A412" s="319"/>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row>
    <row r="413" ht="15.0" customHeight="true">
      <c r="A413" s="319"/>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row>
    <row r="414" ht="15.0" customHeight="true">
      <c r="A414" s="319"/>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row>
    <row r="415" ht="15.0" customHeight="true">
      <c r="A415" s="319"/>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row>
    <row r="416" ht="15.0" customHeight="true">
      <c r="A416" s="319"/>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row>
    <row r="417" ht="15.0" customHeight="true">
      <c r="A417" s="319"/>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row>
    <row r="418" ht="15.0" customHeight="true">
      <c r="A418" s="319"/>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row>
    <row r="419" ht="15.0" customHeight="true">
      <c r="A419" s="319"/>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row>
    <row r="420" ht="15.0" customHeight="true">
      <c r="A420" s="319"/>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row>
    <row r="421" ht="15.0" customHeight="true">
      <c r="A421" s="319"/>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row>
    <row r="422" ht="15.0" customHeight="true">
      <c r="A422" s="319"/>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row>
    <row r="423" ht="15.0" customHeight="true">
      <c r="A423" s="319"/>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row>
    <row r="424" ht="15.0" customHeight="true">
      <c r="A424" s="319"/>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row>
    <row r="425" ht="15.0" customHeight="true">
      <c r="A425" s="319"/>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row>
    <row r="426" ht="15.0" customHeight="true">
      <c r="A426" s="319"/>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row>
    <row r="427" ht="15.0" customHeight="true">
      <c r="A427" s="319"/>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row>
    <row r="428" ht="15.0" customHeight="true">
      <c r="A428" s="319"/>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row>
    <row r="429" ht="15.0" customHeight="true">
      <c r="A429" s="319"/>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row>
    <row r="430" ht="15.0" customHeight="true">
      <c r="A430" s="319"/>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row>
    <row r="431" ht="15.0" customHeight="true">
      <c r="A431" s="319"/>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row>
    <row r="432" ht="15.0" customHeight="true">
      <c r="A432" s="319"/>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row>
    <row r="433" ht="15.0" customHeight="true">
      <c r="A433" s="319"/>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row>
    <row r="434" ht="15.0" customHeight="true">
      <c r="A434" s="319"/>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row>
    <row r="435" ht="15.0" customHeight="true">
      <c r="A435" s="319"/>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row>
    <row r="436" ht="15.0" customHeight="true">
      <c r="A436" s="319"/>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row>
    <row r="437" ht="15.0" customHeight="true">
      <c r="A437" s="319"/>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row>
    <row r="438" ht="15.0" customHeight="true">
      <c r="A438" s="319"/>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row>
    <row r="439" ht="15.0" customHeight="true">
      <c r="A439" s="319"/>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row>
    <row r="440" ht="15.0" customHeight="true">
      <c r="A440" s="319"/>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row>
    <row r="441" ht="15.0" customHeight="true">
      <c r="A441" s="319"/>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row>
    <row r="442" ht="15.0" customHeight="true">
      <c r="A442" s="319"/>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row>
    <row r="443" ht="15.0" customHeight="true">
      <c r="A443" s="319"/>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row>
    <row r="444" ht="15.0" customHeight="true">
      <c r="A444" s="319"/>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row>
    <row r="445" ht="15.0" customHeight="true">
      <c r="A445" s="319"/>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row>
    <row r="446" ht="15.0" customHeight="true">
      <c r="A446" s="319"/>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row>
    <row r="447" ht="15.0" customHeight="true">
      <c r="A447" s="319"/>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row>
    <row r="448" ht="15.0" customHeight="true">
      <c r="A448" s="319"/>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row>
    <row r="449" ht="15.0" customHeight="true">
      <c r="A449" s="319"/>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row>
    <row r="450" ht="15.0" customHeight="true">
      <c r="A450" s="319"/>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row>
    <row r="451" ht="15.0" customHeight="true">
      <c r="A451" s="319"/>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row>
    <row r="452" ht="15.0" customHeight="true">
      <c r="A452" s="319"/>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row>
    <row r="453" ht="15.0" customHeight="true">
      <c r="A453" s="319"/>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row>
    <row r="454" ht="15.0" customHeight="true">
      <c r="A454" s="319"/>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row>
    <row r="455" ht="15.0" customHeight="true">
      <c r="A455" s="319"/>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row>
    <row r="456" ht="15.0" customHeight="true">
      <c r="A456" s="319"/>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row>
    <row r="457" ht="15.0" customHeight="true">
      <c r="A457" s="319"/>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row>
    <row r="458" ht="15.0" customHeight="true">
      <c r="A458" s="319"/>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row>
    <row r="459" ht="15.0" customHeight="true">
      <c r="A459" s="319"/>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row>
    <row r="460" ht="15.0" customHeight="true">
      <c r="A460" s="319"/>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row>
    <row r="461" ht="15.0" customHeight="true">
      <c r="A461" s="319"/>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row>
    <row r="462" ht="15.0" customHeight="true">
      <c r="A462" s="319"/>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row>
    <row r="463" ht="15.0" customHeight="true">
      <c r="A463" s="319"/>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row>
    <row r="464" ht="15.0" customHeight="true">
      <c r="A464" s="319"/>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row>
    <row r="465" ht="15.0" customHeight="true">
      <c r="A465" s="319"/>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row>
    <row r="466" ht="15.0" customHeight="true">
      <c r="A466" s="319"/>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row>
    <row r="467" ht="15.0" customHeight="true">
      <c r="A467" s="319"/>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row>
    <row r="468" ht="15.0" customHeight="true">
      <c r="A468" s="319"/>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row>
    <row r="469" ht="15.0" customHeight="true">
      <c r="A469" s="319"/>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row>
    <row r="470" ht="15.0" customHeight="true">
      <c r="A470" s="319"/>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row>
    <row r="471" ht="15.0" customHeight="true">
      <c r="A471" s="319"/>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row>
    <row r="472" ht="15.0" customHeight="true">
      <c r="A472" s="319"/>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c r="AA472" s="319"/>
    </row>
    <row r="473" ht="15.0" customHeight="true">
      <c r="A473" s="319"/>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c r="AA473" s="319"/>
    </row>
    <row r="474" ht="15.0" customHeight="true">
      <c r="A474" s="319"/>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c r="AA474" s="319"/>
    </row>
    <row r="475" ht="15.0" customHeight="true">
      <c r="A475" s="319"/>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c r="AA475" s="319"/>
    </row>
    <row r="476" ht="15.0" customHeight="true">
      <c r="A476" s="319"/>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c r="AA476" s="319"/>
    </row>
    <row r="477" ht="15.0" customHeight="true">
      <c r="A477" s="319"/>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row>
    <row r="478" ht="15.0" customHeight="true">
      <c r="A478" s="319"/>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c r="AA478" s="319"/>
    </row>
    <row r="479" ht="15.0" customHeight="true">
      <c r="A479" s="319"/>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c r="AA479" s="319"/>
    </row>
    <row r="480" ht="15.0" customHeight="true">
      <c r="A480" s="319"/>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c r="AA480" s="319"/>
    </row>
    <row r="481" ht="15.0" customHeight="true">
      <c r="A481" s="319"/>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c r="AA481" s="319"/>
    </row>
    <row r="482" ht="15.0" customHeight="true">
      <c r="A482" s="319"/>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c r="AA482" s="319"/>
    </row>
    <row r="483" ht="15.0" customHeight="true">
      <c r="A483" s="319"/>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c r="AA483" s="319"/>
    </row>
    <row r="484" ht="15.0" customHeight="true">
      <c r="A484" s="319"/>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c r="AA484" s="319"/>
    </row>
    <row r="485" ht="15.0" customHeight="true">
      <c r="A485" s="319"/>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c r="AA485" s="319"/>
    </row>
    <row r="486" ht="15.0" customHeight="true">
      <c r="A486" s="319"/>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c r="AA486" s="319"/>
    </row>
    <row r="487" ht="15.0" customHeight="true">
      <c r="A487" s="319"/>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c r="AA487" s="319"/>
    </row>
    <row r="488" ht="15.0" customHeight="true">
      <c r="A488" s="319"/>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c r="AA488" s="319"/>
    </row>
    <row r="489" ht="15.0" customHeight="true">
      <c r="A489" s="319"/>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c r="AA489" s="319"/>
    </row>
    <row r="490" ht="15.0" customHeight="true">
      <c r="A490" s="319"/>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c r="AA490" s="319"/>
    </row>
    <row r="491" ht="15.0" customHeight="true">
      <c r="A491" s="319"/>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c r="AA491" s="319"/>
    </row>
    <row r="492" ht="15.0" customHeight="true">
      <c r="A492" s="319"/>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c r="AA492" s="319"/>
    </row>
    <row r="493" ht="15.0" customHeight="true">
      <c r="A493" s="319"/>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c r="AA493" s="319"/>
    </row>
    <row r="494" ht="15.0" customHeight="true">
      <c r="A494" s="319"/>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c r="AA494" s="319"/>
    </row>
    <row r="495" ht="15.0" customHeight="true">
      <c r="A495" s="319"/>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c r="AA495" s="319"/>
    </row>
    <row r="496" ht="15.0" customHeight="true">
      <c r="A496" s="319"/>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c r="AA496" s="319"/>
    </row>
    <row r="497" ht="15.0" customHeight="true">
      <c r="A497" s="319"/>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c r="AA497" s="319"/>
    </row>
    <row r="498" ht="15.0" customHeight="true">
      <c r="A498" s="319"/>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c r="AA498" s="319"/>
    </row>
    <row r="499" ht="15.0" customHeight="true">
      <c r="A499" s="319"/>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c r="AA499" s="319"/>
    </row>
    <row r="500" ht="15.0" customHeight="true">
      <c r="A500" s="319"/>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c r="AA500" s="319"/>
    </row>
    <row r="501" ht="15.0" customHeight="true">
      <c r="A501" s="319"/>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row>
    <row r="502" ht="15.0" customHeight="true">
      <c r="A502" s="319"/>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c r="AA502" s="319"/>
    </row>
    <row r="503" ht="15.0" customHeight="true">
      <c r="A503" s="319"/>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c r="AA503" s="319"/>
    </row>
    <row r="504" ht="15.0" customHeight="true">
      <c r="A504" s="319"/>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c r="AA504" s="319"/>
    </row>
    <row r="505" ht="15.0" customHeight="true">
      <c r="A505" s="319"/>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c r="AA505" s="319"/>
    </row>
    <row r="506" ht="15.0" customHeight="true">
      <c r="A506" s="319"/>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c r="AA506" s="319"/>
    </row>
    <row r="507" ht="15.0" customHeight="true">
      <c r="A507" s="319"/>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c r="AA507" s="319"/>
    </row>
    <row r="508" ht="15.0" customHeight="true">
      <c r="A508" s="319"/>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c r="AA508" s="319"/>
    </row>
    <row r="509" ht="15.0" customHeight="true">
      <c r="A509" s="319"/>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c r="AA509" s="319"/>
    </row>
    <row r="510" ht="15.0" customHeight="true">
      <c r="A510" s="319"/>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c r="AA510" s="319"/>
    </row>
    <row r="511" ht="15.0" customHeight="true">
      <c r="A511" s="319"/>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c r="AA511" s="319"/>
    </row>
    <row r="512" ht="15.0" customHeight="true">
      <c r="A512" s="319"/>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c r="AA512" s="319"/>
    </row>
    <row r="513" ht="15.0" customHeight="true">
      <c r="A513" s="319"/>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c r="AA513" s="319"/>
    </row>
    <row r="514" ht="15.0" customHeight="true">
      <c r="A514" s="319"/>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c r="AA514" s="319"/>
    </row>
    <row r="515" ht="15.0" customHeight="true">
      <c r="A515" s="319"/>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c r="AA515" s="319"/>
    </row>
    <row r="516" ht="15.0" customHeight="true">
      <c r="A516" s="319"/>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c r="AA516" s="319"/>
    </row>
    <row r="517" ht="15.0" customHeight="true">
      <c r="A517" s="319"/>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c r="AA517" s="319"/>
    </row>
    <row r="518" ht="15.0" customHeight="true">
      <c r="A518" s="319"/>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c r="AA518" s="319"/>
    </row>
    <row r="519" ht="15.0" customHeight="true">
      <c r="A519" s="319"/>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c r="AA519" s="319"/>
    </row>
    <row r="520" ht="15.0" customHeight="true">
      <c r="A520" s="319"/>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c r="AA520" s="319"/>
    </row>
    <row r="521" ht="15.0" customHeight="true">
      <c r="A521" s="319"/>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c r="AA521" s="319"/>
    </row>
    <row r="522" ht="15.0" customHeight="true">
      <c r="A522" s="319"/>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c r="AA522" s="319"/>
    </row>
    <row r="523" ht="15.0" customHeight="true">
      <c r="A523" s="319"/>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c r="AA523" s="319"/>
    </row>
    <row r="524" ht="15.0" customHeight="true">
      <c r="A524" s="319"/>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c r="AA524" s="319"/>
    </row>
    <row r="525" ht="15.0" customHeight="true">
      <c r="A525" s="319"/>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c r="AA525" s="319"/>
    </row>
    <row r="526" ht="15.0" customHeight="true">
      <c r="A526" s="319"/>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c r="AA526" s="319"/>
    </row>
    <row r="527" ht="15.0" customHeight="true">
      <c r="A527" s="319"/>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c r="AA527" s="319"/>
    </row>
    <row r="528" ht="15.0" customHeight="true">
      <c r="A528" s="319"/>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c r="AA528" s="319"/>
    </row>
    <row r="529" ht="15.0" customHeight="true">
      <c r="A529" s="319"/>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c r="AA529" s="319"/>
    </row>
    <row r="530" ht="15.0" customHeight="true">
      <c r="A530" s="319"/>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c r="AA530" s="319"/>
    </row>
    <row r="531" ht="15.0" customHeight="true">
      <c r="A531" s="319"/>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c r="AA531" s="319"/>
    </row>
    <row r="532" ht="15.0" customHeight="true">
      <c r="A532" s="319"/>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c r="AA532" s="319"/>
    </row>
    <row r="533" ht="15.0" customHeight="true">
      <c r="A533" s="319"/>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c r="AA533" s="319"/>
    </row>
    <row r="534" ht="15.0" customHeight="true">
      <c r="A534" s="319"/>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c r="AA534" s="319"/>
    </row>
    <row r="535" ht="15.0" customHeight="true">
      <c r="A535" s="319"/>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c r="AA535" s="319"/>
    </row>
    <row r="536" ht="15.0" customHeight="true">
      <c r="A536" s="319"/>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c r="AA536" s="319"/>
    </row>
    <row r="537" ht="15.0" customHeight="true">
      <c r="A537" s="319"/>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c r="AA537" s="319"/>
    </row>
    <row r="538" ht="15.0" customHeight="true">
      <c r="A538" s="319"/>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c r="AA538" s="319"/>
    </row>
    <row r="539" ht="15.0" customHeight="true">
      <c r="A539" s="319"/>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c r="AA539" s="319"/>
    </row>
    <row r="540" ht="15.0" customHeight="true">
      <c r="A540" s="319"/>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c r="AA540" s="319"/>
    </row>
    <row r="541" ht="15.0" customHeight="true">
      <c r="A541" s="319"/>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c r="AA541" s="319"/>
    </row>
    <row r="542" ht="15.0" customHeight="true">
      <c r="A542" s="319"/>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c r="AA542" s="319"/>
    </row>
    <row r="543" ht="15.0" customHeight="true">
      <c r="A543" s="319"/>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c r="AA543" s="319"/>
    </row>
    <row r="544" ht="15.0" customHeight="true">
      <c r="A544" s="319"/>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c r="AA544" s="319"/>
    </row>
    <row r="545" ht="15.0" customHeight="true">
      <c r="A545" s="319"/>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c r="AA545" s="319"/>
    </row>
    <row r="546" ht="15.0" customHeight="true">
      <c r="A546" s="319"/>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c r="AA546" s="319"/>
    </row>
    <row r="547" ht="15.0" customHeight="true">
      <c r="A547" s="319"/>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c r="AA547" s="319"/>
    </row>
    <row r="548" ht="15.0" customHeight="true">
      <c r="A548" s="319"/>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c r="AA548" s="319"/>
    </row>
    <row r="549" ht="15.0" customHeight="true">
      <c r="A549" s="319"/>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c r="AA549" s="319"/>
    </row>
    <row r="550" ht="15.0" customHeight="true">
      <c r="A550" s="319"/>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c r="AA550" s="319"/>
    </row>
    <row r="551" ht="15.0" customHeight="true">
      <c r="A551" s="319"/>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c r="AA551" s="319"/>
    </row>
    <row r="552" ht="15.0" customHeight="true">
      <c r="A552" s="319"/>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c r="AA552" s="319"/>
    </row>
    <row r="553" ht="15.0" customHeight="true">
      <c r="A553" s="319"/>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c r="AA553" s="319"/>
    </row>
    <row r="554" ht="15.0" customHeight="true">
      <c r="A554" s="319"/>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c r="AA554" s="319"/>
    </row>
    <row r="555" ht="15.0" customHeight="true">
      <c r="A555" s="319"/>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c r="AA555" s="319"/>
    </row>
    <row r="556" ht="15.0" customHeight="true">
      <c r="A556" s="319"/>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c r="AA556" s="319"/>
    </row>
    <row r="557" ht="15.0" customHeight="true">
      <c r="A557" s="319"/>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c r="AA557" s="319"/>
    </row>
    <row r="558" ht="15.0" customHeight="true">
      <c r="A558" s="319"/>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c r="AA558" s="319"/>
    </row>
    <row r="559" ht="15.0" customHeight="true">
      <c r="A559" s="319"/>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c r="AA559" s="319"/>
    </row>
    <row r="560" ht="15.0" customHeight="true">
      <c r="A560" s="319"/>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c r="AA560" s="319"/>
    </row>
    <row r="561" ht="15.0" customHeight="true">
      <c r="A561" s="319"/>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c r="AA561" s="319"/>
    </row>
    <row r="562" ht="15.0" customHeight="true">
      <c r="A562" s="319"/>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c r="AA562" s="319"/>
    </row>
    <row r="563" ht="15.0" customHeight="true">
      <c r="A563" s="319"/>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c r="AA563" s="319"/>
    </row>
    <row r="564" ht="15.0" customHeight="true">
      <c r="A564" s="319"/>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c r="AA564" s="319"/>
    </row>
    <row r="565" ht="15.0" customHeight="true">
      <c r="A565" s="319"/>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c r="AA565" s="319"/>
    </row>
    <row r="566" ht="15.0" customHeight="true">
      <c r="A566" s="319"/>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c r="AA566" s="319"/>
    </row>
    <row r="567" ht="15.0" customHeight="true">
      <c r="A567" s="319"/>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c r="AA567" s="319"/>
    </row>
    <row r="568" ht="15.0" customHeight="true">
      <c r="A568" s="319"/>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c r="AA568" s="319"/>
    </row>
    <row r="569" ht="15.0" customHeight="true">
      <c r="A569" s="319"/>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c r="AA569" s="319"/>
    </row>
    <row r="570" ht="15.0" customHeight="true">
      <c r="A570" s="319"/>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c r="AA570" s="319"/>
    </row>
    <row r="571" ht="15.0" customHeight="true">
      <c r="A571" s="319"/>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c r="AA571" s="319"/>
    </row>
    <row r="572" ht="15.0" customHeight="true">
      <c r="A572" s="319"/>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c r="AA572" s="319"/>
    </row>
    <row r="573" ht="15.0" customHeight="true">
      <c r="A573" s="319"/>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c r="AA573" s="319"/>
    </row>
    <row r="574" ht="15.0" customHeight="true">
      <c r="A574" s="319"/>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c r="AA574" s="319"/>
    </row>
    <row r="575" ht="15.0" customHeight="true">
      <c r="A575" s="319"/>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c r="AA575" s="319"/>
    </row>
    <row r="576" ht="15.0" customHeight="true">
      <c r="A576" s="319"/>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c r="AA576" s="319"/>
    </row>
    <row r="577" ht="15.0" customHeight="true">
      <c r="A577" s="319"/>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c r="AA577" s="319"/>
    </row>
    <row r="578" ht="15.0" customHeight="true">
      <c r="A578" s="319"/>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c r="AA578" s="319"/>
    </row>
    <row r="579" ht="15.0" customHeight="true">
      <c r="A579" s="319"/>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c r="AA579" s="319"/>
    </row>
    <row r="580" ht="15.0" customHeight="true">
      <c r="A580" s="319"/>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c r="AA580" s="319"/>
    </row>
    <row r="581" ht="15.0" customHeight="true">
      <c r="A581" s="319"/>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c r="AA581" s="319"/>
    </row>
    <row r="582" ht="15.0" customHeight="true">
      <c r="A582" s="319"/>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c r="AA582" s="319"/>
    </row>
    <row r="583" ht="15.0" customHeight="true">
      <c r="A583" s="319"/>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c r="AA583" s="319"/>
    </row>
    <row r="584" ht="15.0" customHeight="true">
      <c r="A584" s="319"/>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c r="AA584" s="319"/>
    </row>
    <row r="585" ht="15.0" customHeight="true">
      <c r="A585" s="319"/>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c r="AA585" s="319"/>
    </row>
    <row r="586" ht="15.0" customHeight="true">
      <c r="A586" s="319"/>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c r="AA586" s="319"/>
    </row>
    <row r="587" ht="15.0" customHeight="true">
      <c r="A587" s="319"/>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c r="AA587" s="319"/>
    </row>
    <row r="588" ht="15.0" customHeight="true">
      <c r="A588" s="319"/>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c r="AA588" s="319"/>
    </row>
    <row r="589" ht="15.0" customHeight="true">
      <c r="A589" s="319"/>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c r="AA589" s="319"/>
    </row>
    <row r="590" ht="15.0" customHeight="true">
      <c r="A590" s="319"/>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c r="AA590" s="319"/>
    </row>
    <row r="591" ht="15.0" customHeight="true">
      <c r="A591" s="319"/>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c r="AA591" s="319"/>
    </row>
    <row r="592" ht="15.0" customHeight="true">
      <c r="A592" s="319"/>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c r="AA592" s="319"/>
    </row>
    <row r="593" ht="15.0" customHeight="true">
      <c r="A593" s="319"/>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c r="AA593" s="319"/>
    </row>
    <row r="594" ht="15.0" customHeight="true">
      <c r="A594" s="319"/>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c r="AA594" s="319"/>
    </row>
    <row r="595" ht="15.0" customHeight="true">
      <c r="A595" s="319"/>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c r="AA595" s="319"/>
    </row>
    <row r="596" ht="15.0" customHeight="true">
      <c r="A596" s="319"/>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c r="AA596" s="319"/>
    </row>
    <row r="597" ht="15.0" customHeight="true">
      <c r="A597" s="319"/>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c r="AA597" s="319"/>
    </row>
    <row r="598" ht="15.0" customHeight="true">
      <c r="A598" s="319"/>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c r="AA598" s="319"/>
    </row>
    <row r="599" ht="15.0" customHeight="true">
      <c r="A599" s="319"/>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c r="AA599" s="319"/>
    </row>
    <row r="600" ht="15.0" customHeight="true">
      <c r="A600" s="319"/>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c r="AA600" s="319"/>
    </row>
    <row r="601" ht="15.0" customHeight="true">
      <c r="A601" s="319"/>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c r="AA601" s="319"/>
    </row>
    <row r="602" ht="15.0" customHeight="true">
      <c r="A602" s="319"/>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c r="AA602" s="319"/>
    </row>
    <row r="603" ht="15.0" customHeight="true">
      <c r="A603" s="319"/>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c r="AA603" s="319"/>
    </row>
    <row r="604" ht="15.0" customHeight="true">
      <c r="A604" s="319"/>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c r="AA604" s="319"/>
    </row>
    <row r="605" ht="15.0" customHeight="true">
      <c r="A605" s="319"/>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c r="AA605" s="319"/>
    </row>
    <row r="606" ht="15.0" customHeight="true">
      <c r="A606" s="319"/>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row>
    <row r="607" ht="15.0" customHeight="true">
      <c r="A607" s="319"/>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c r="AA607" s="319"/>
    </row>
    <row r="608" ht="15.0" customHeight="true">
      <c r="A608" s="319"/>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row>
    <row r="609" ht="15.0" customHeight="true">
      <c r="A609" s="319"/>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c r="AA609" s="319"/>
    </row>
    <row r="610" ht="15.0" customHeight="true">
      <c r="A610" s="319"/>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c r="AA610" s="319"/>
    </row>
    <row r="611" ht="15.0" customHeight="true">
      <c r="A611" s="319"/>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c r="AA611" s="319"/>
    </row>
    <row r="612" ht="15.0" customHeight="true">
      <c r="A612" s="319"/>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c r="AA612" s="319"/>
    </row>
    <row r="613" ht="15.0" customHeight="true">
      <c r="A613" s="319"/>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c r="AA613" s="319"/>
    </row>
    <row r="614" ht="15.0" customHeight="true">
      <c r="A614" s="319"/>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c r="AA614" s="319"/>
    </row>
    <row r="615" ht="15.0" customHeight="true">
      <c r="A615" s="319"/>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c r="AA615" s="319"/>
    </row>
    <row r="616" ht="15.0" customHeight="true">
      <c r="A616" s="319"/>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c r="AA616" s="319"/>
    </row>
    <row r="617" ht="15.0" customHeight="true">
      <c r="A617" s="319"/>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c r="AA617" s="319"/>
    </row>
    <row r="618" ht="15.0" customHeight="true">
      <c r="A618" s="319"/>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c r="AA618" s="319"/>
    </row>
    <row r="619" ht="15.0" customHeight="true">
      <c r="A619" s="319"/>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c r="AA619" s="319"/>
    </row>
    <row r="620" ht="15.0" customHeight="true">
      <c r="A620" s="319"/>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c r="AA620" s="319"/>
    </row>
    <row r="621" ht="15.0" customHeight="true">
      <c r="A621" s="319"/>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c r="AA621" s="319"/>
    </row>
    <row r="622" ht="15.0" customHeight="true">
      <c r="A622" s="319"/>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c r="AA622" s="319"/>
    </row>
    <row r="623" ht="15.0" customHeight="true">
      <c r="A623" s="319"/>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c r="AA623" s="319"/>
    </row>
    <row r="624" ht="15.0" customHeight="true">
      <c r="A624" s="319"/>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c r="AA624" s="319"/>
    </row>
    <row r="625" ht="15.0" customHeight="true">
      <c r="A625" s="319"/>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c r="AA625" s="319"/>
    </row>
    <row r="626" ht="15.0" customHeight="true">
      <c r="A626" s="319"/>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c r="AA626" s="319"/>
    </row>
    <row r="627" ht="15.0" customHeight="true">
      <c r="A627" s="319"/>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c r="AA627" s="319"/>
    </row>
    <row r="628" ht="15.0" customHeight="true">
      <c r="A628" s="319"/>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c r="AA628" s="319"/>
    </row>
    <row r="629" ht="15.0" customHeight="true">
      <c r="A629" s="319"/>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c r="AA629" s="319"/>
    </row>
    <row r="630" ht="15.0" customHeight="true">
      <c r="A630" s="319"/>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c r="AA630" s="319"/>
    </row>
    <row r="631" ht="15.0" customHeight="true">
      <c r="A631" s="319"/>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c r="AA631" s="319"/>
    </row>
    <row r="632" ht="15.0" customHeight="true">
      <c r="A632" s="319"/>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c r="AA632" s="319"/>
    </row>
    <row r="633" ht="15.0" customHeight="true">
      <c r="A633" s="319"/>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c r="AA633" s="319"/>
    </row>
    <row r="634" ht="15.0" customHeight="true">
      <c r="A634" s="319"/>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c r="AA634" s="319"/>
    </row>
    <row r="635" ht="15.0" customHeight="true">
      <c r="A635" s="319"/>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c r="AA635" s="319"/>
    </row>
    <row r="636" ht="15.0" customHeight="true">
      <c r="A636" s="319"/>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c r="AA636" s="319"/>
    </row>
    <row r="637" ht="15.0" customHeight="true">
      <c r="A637" s="319"/>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c r="AA637" s="319"/>
    </row>
    <row r="638" ht="15.0" customHeight="true">
      <c r="A638" s="319"/>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c r="AA638" s="319"/>
    </row>
    <row r="639" ht="15.0" customHeight="true">
      <c r="A639" s="319"/>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c r="AA639" s="319"/>
    </row>
    <row r="640" ht="15.0" customHeight="true">
      <c r="A640" s="319"/>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c r="AA640" s="319"/>
    </row>
    <row r="641" ht="15.0" customHeight="true">
      <c r="A641" s="319"/>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c r="AA641" s="319"/>
    </row>
    <row r="642" ht="15.0" customHeight="true">
      <c r="A642" s="319"/>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c r="AA642" s="319"/>
    </row>
    <row r="643" ht="15.0" customHeight="true">
      <c r="A643" s="319"/>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c r="AA643" s="319"/>
    </row>
    <row r="644" ht="15.0" customHeight="true">
      <c r="A644" s="319"/>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c r="AA644" s="319"/>
    </row>
    <row r="645" ht="15.0" customHeight="true">
      <c r="A645" s="319"/>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c r="AA645" s="319"/>
    </row>
    <row r="646" ht="15.0" customHeight="true">
      <c r="A646" s="319"/>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c r="AA646" s="319"/>
    </row>
    <row r="647" ht="15.0" customHeight="true">
      <c r="A647" s="319"/>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c r="AA647" s="319"/>
    </row>
    <row r="648" ht="15.0" customHeight="true">
      <c r="A648" s="319"/>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c r="AA648" s="319"/>
    </row>
    <row r="649" ht="15.0" customHeight="true">
      <c r="A649" s="319"/>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c r="AA649" s="319"/>
    </row>
    <row r="650" ht="15.0" customHeight="true">
      <c r="A650" s="319"/>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c r="AA650" s="319"/>
    </row>
    <row r="651" ht="15.0" customHeight="true">
      <c r="A651" s="319"/>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c r="AA651" s="319"/>
    </row>
    <row r="652" ht="15.0" customHeight="true">
      <c r="A652" s="319"/>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c r="AA652" s="319"/>
    </row>
    <row r="653" ht="15.0" customHeight="true">
      <c r="A653" s="319"/>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c r="AA653" s="319"/>
    </row>
    <row r="654" ht="15.0" customHeight="true">
      <c r="A654" s="319"/>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c r="AA654" s="319"/>
    </row>
    <row r="655" ht="15.0" customHeight="true">
      <c r="A655" s="319"/>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c r="AA655" s="319"/>
    </row>
    <row r="656" ht="15.0" customHeight="true">
      <c r="A656" s="319"/>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c r="AA656" s="319"/>
    </row>
    <row r="657" ht="15.0" customHeight="true">
      <c r="A657" s="319"/>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c r="AA657" s="319"/>
    </row>
    <row r="658" ht="15.0" customHeight="true">
      <c r="A658" s="319"/>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c r="AA658" s="319"/>
    </row>
    <row r="659" ht="15.0" customHeight="true">
      <c r="A659" s="319"/>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c r="AA659" s="319"/>
    </row>
    <row r="660" ht="15.0" customHeight="true">
      <c r="A660" s="319"/>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c r="AA660" s="319"/>
    </row>
    <row r="661" ht="15.0" customHeight="true">
      <c r="A661" s="319"/>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c r="AA661" s="319"/>
    </row>
    <row r="662" ht="15.0" customHeight="true">
      <c r="A662" s="319"/>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c r="AA662" s="319"/>
    </row>
    <row r="663" ht="15.0" customHeight="true">
      <c r="A663" s="319"/>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c r="AA663" s="319"/>
    </row>
    <row r="664" ht="15.0" customHeight="true">
      <c r="A664" s="319"/>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c r="AA664" s="319"/>
    </row>
    <row r="665" ht="15.0" customHeight="true">
      <c r="A665" s="319"/>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c r="AA665" s="319"/>
    </row>
    <row r="666" ht="15.0" customHeight="true">
      <c r="A666" s="319"/>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c r="AA666" s="319"/>
    </row>
    <row r="667" ht="15.0" customHeight="true">
      <c r="A667" s="319"/>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c r="AA667" s="319"/>
    </row>
    <row r="668" ht="15.0" customHeight="true">
      <c r="A668" s="319"/>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c r="AA668" s="319"/>
    </row>
    <row r="669" ht="15.0" customHeight="true">
      <c r="A669" s="319"/>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c r="AA669" s="319"/>
    </row>
    <row r="670" ht="15.0" customHeight="true">
      <c r="A670" s="319"/>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c r="AA670" s="319"/>
    </row>
    <row r="671" ht="15.0" customHeight="true">
      <c r="A671" s="319"/>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c r="AA671" s="319"/>
    </row>
    <row r="672" ht="15.0" customHeight="true">
      <c r="A672" s="319"/>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c r="AA672" s="319"/>
    </row>
    <row r="673" ht="15.0" customHeight="true">
      <c r="A673" s="319"/>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c r="AA673" s="319"/>
    </row>
    <row r="674" ht="15.0" customHeight="true">
      <c r="A674" s="319"/>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c r="AA674" s="319"/>
    </row>
    <row r="675" ht="15.0" customHeight="true">
      <c r="A675" s="319"/>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c r="AA675" s="319"/>
    </row>
    <row r="676" ht="15.0" customHeight="true">
      <c r="A676" s="319"/>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c r="AA676" s="319"/>
    </row>
    <row r="677" ht="15.0" customHeight="true">
      <c r="A677" s="319"/>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c r="AA677" s="319"/>
    </row>
    <row r="678" ht="15.0" customHeight="true">
      <c r="A678" s="319"/>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c r="AA678" s="319"/>
    </row>
    <row r="679" ht="15.0" customHeight="true">
      <c r="A679" s="319"/>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c r="AA679" s="319"/>
    </row>
    <row r="680" ht="15.0" customHeight="true">
      <c r="A680" s="319"/>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c r="AA680" s="319"/>
    </row>
    <row r="681" ht="15.0" customHeight="true">
      <c r="A681" s="319"/>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c r="AA681" s="319"/>
    </row>
    <row r="682" ht="15.0" customHeight="true">
      <c r="A682" s="319"/>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c r="AA682" s="319"/>
    </row>
    <row r="683" ht="15.0" customHeight="true">
      <c r="A683" s="319"/>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c r="AA683" s="319"/>
    </row>
    <row r="684" ht="15.0" customHeight="true">
      <c r="A684" s="319"/>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c r="AA684" s="319"/>
    </row>
    <row r="685" ht="15.0" customHeight="true">
      <c r="A685" s="319"/>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c r="AA685" s="319"/>
    </row>
    <row r="686" ht="15.0" customHeight="true">
      <c r="A686" s="319"/>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c r="AA686" s="319"/>
    </row>
    <row r="687" ht="15.0" customHeight="true">
      <c r="A687" s="319"/>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c r="AA687" s="319"/>
    </row>
    <row r="688" ht="15.0" customHeight="true">
      <c r="A688" s="319"/>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c r="AA688" s="319"/>
    </row>
    <row r="689" ht="15.0" customHeight="true">
      <c r="A689" s="319"/>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c r="AA689" s="319"/>
    </row>
    <row r="690" ht="15.0" customHeight="true">
      <c r="A690" s="319"/>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c r="AA690" s="319"/>
    </row>
    <row r="691" ht="15.0" customHeight="true">
      <c r="A691" s="319"/>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c r="AA691" s="319"/>
    </row>
    <row r="692" ht="15.0" customHeight="true">
      <c r="A692" s="319"/>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c r="AA692" s="319"/>
    </row>
    <row r="693" ht="15.0" customHeight="true">
      <c r="A693" s="319"/>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c r="AA693" s="319"/>
    </row>
    <row r="694" ht="15.0" customHeight="true">
      <c r="A694" s="319"/>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c r="AA694" s="319"/>
    </row>
    <row r="695" ht="15.0" customHeight="true">
      <c r="A695" s="319"/>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c r="AA695" s="319"/>
    </row>
    <row r="696" ht="15.0" customHeight="true">
      <c r="A696" s="319"/>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c r="AA696" s="319"/>
    </row>
    <row r="697" ht="15.0" customHeight="true">
      <c r="A697" s="319"/>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c r="AA697" s="319"/>
    </row>
    <row r="698" ht="15.0" customHeight="true">
      <c r="A698" s="319"/>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c r="AA698" s="319"/>
    </row>
    <row r="699" ht="15.0" customHeight="true">
      <c r="A699" s="319"/>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c r="AA699" s="319"/>
    </row>
    <row r="700" ht="15.0" customHeight="true">
      <c r="A700" s="319"/>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c r="AA700" s="319"/>
    </row>
    <row r="701" ht="15.0" customHeight="true">
      <c r="A701" s="319"/>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c r="AA701" s="319"/>
    </row>
    <row r="702" ht="15.0" customHeight="true">
      <c r="A702" s="319"/>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c r="AA702" s="319"/>
    </row>
    <row r="703" ht="15.0" customHeight="true">
      <c r="A703" s="319"/>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c r="AA703" s="319"/>
    </row>
    <row r="704" ht="15.0" customHeight="true">
      <c r="A704" s="319"/>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row>
    <row r="705" ht="15.0" customHeight="true">
      <c r="A705" s="319"/>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row>
    <row r="706" ht="15.0" customHeight="true">
      <c r="A706" s="319"/>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row>
    <row r="707" ht="15.0" customHeight="true">
      <c r="A707" s="319"/>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row>
    <row r="708" ht="15.0" customHeight="true">
      <c r="A708" s="319"/>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row>
    <row r="709" ht="15.0" customHeight="true">
      <c r="A709" s="319"/>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row>
    <row r="710" ht="15.0" customHeight="true">
      <c r="A710" s="319"/>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row>
    <row r="711" ht="15.0" customHeight="true">
      <c r="A711" s="319"/>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row>
    <row r="712" ht="15.0" customHeight="true">
      <c r="A712" s="319"/>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row>
    <row r="713" ht="15.0" customHeight="true">
      <c r="A713" s="319"/>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row>
    <row r="714" ht="15.0" customHeight="true">
      <c r="A714" s="319"/>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row>
    <row r="715" ht="15.0" customHeight="true">
      <c r="A715" s="319"/>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row>
    <row r="716" ht="15.0" customHeight="true">
      <c r="A716" s="319"/>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row>
    <row r="717" ht="15.0" customHeight="true">
      <c r="A717" s="319"/>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row>
    <row r="718" ht="15.0" customHeight="true">
      <c r="A718" s="319"/>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row>
    <row r="719" ht="15.0" customHeight="true">
      <c r="A719" s="319"/>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row>
    <row r="720" ht="15.0" customHeight="true">
      <c r="A720" s="319"/>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row>
    <row r="721" ht="15.0" customHeight="true">
      <c r="A721" s="319"/>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row>
    <row r="722" ht="15.0" customHeight="true">
      <c r="A722" s="319"/>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c r="AA722" s="319"/>
    </row>
    <row r="723" ht="15.0" customHeight="true">
      <c r="A723" s="319"/>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c r="AA723" s="319"/>
    </row>
    <row r="724" ht="15.0" customHeight="true">
      <c r="A724" s="319"/>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c r="AA724" s="319"/>
    </row>
    <row r="725" ht="15.0" customHeight="true">
      <c r="A725" s="319"/>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c r="AA725" s="319"/>
    </row>
    <row r="726" ht="15.0" customHeight="true">
      <c r="A726" s="319"/>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c r="AA726" s="319"/>
    </row>
    <row r="727" ht="15.0" customHeight="true">
      <c r="A727" s="319"/>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c r="AA727" s="319"/>
    </row>
    <row r="728" ht="15.0" customHeight="true">
      <c r="A728" s="319"/>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c r="AA728" s="319"/>
    </row>
    <row r="729" ht="15.0" customHeight="true">
      <c r="A729" s="319"/>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c r="AA729" s="319"/>
    </row>
    <row r="730" ht="15.0" customHeight="true">
      <c r="A730" s="319"/>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c r="AA730" s="319"/>
    </row>
    <row r="731" ht="15.0" customHeight="true">
      <c r="A731" s="319"/>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c r="AA731" s="319"/>
    </row>
    <row r="732" ht="15.0" customHeight="true">
      <c r="A732" s="319"/>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c r="AA732" s="319"/>
    </row>
    <row r="733" ht="15.0" customHeight="true">
      <c r="A733" s="319"/>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c r="AA733" s="319"/>
    </row>
    <row r="734" ht="15.0" customHeight="true">
      <c r="A734" s="319"/>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c r="AA734" s="319"/>
    </row>
    <row r="735" ht="15.0" customHeight="true">
      <c r="A735" s="319"/>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c r="AA735" s="319"/>
    </row>
    <row r="736" ht="15.0" customHeight="true">
      <c r="A736" s="319"/>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c r="AA736" s="319"/>
    </row>
    <row r="737" ht="15.0" customHeight="true">
      <c r="A737" s="319"/>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c r="AA737" s="319"/>
    </row>
    <row r="738" ht="15.0" customHeight="true">
      <c r="A738" s="319"/>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c r="AA738" s="319"/>
    </row>
    <row r="739" ht="15.0" customHeight="true">
      <c r="A739" s="319"/>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c r="AA739" s="319"/>
    </row>
    <row r="740" ht="15.0" customHeight="true">
      <c r="A740" s="319"/>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c r="AA740" s="319"/>
    </row>
    <row r="741" ht="15.0" customHeight="true">
      <c r="A741" s="319"/>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c r="AA741" s="319"/>
    </row>
    <row r="742" ht="15.0" customHeight="true">
      <c r="A742" s="319"/>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c r="AA742" s="319"/>
    </row>
    <row r="743" ht="15.0" customHeight="true">
      <c r="A743" s="319"/>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c r="AA743" s="319"/>
    </row>
    <row r="744" ht="15.0" customHeight="true">
      <c r="A744" s="319"/>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c r="AA744" s="319"/>
    </row>
    <row r="745" ht="15.0" customHeight="true">
      <c r="A745" s="319"/>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c r="AA745" s="319"/>
    </row>
    <row r="746" ht="15.0" customHeight="true">
      <c r="A746" s="319"/>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c r="AA746" s="319"/>
    </row>
    <row r="747" ht="15.0" customHeight="true">
      <c r="A747" s="319"/>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c r="AA747" s="319"/>
    </row>
    <row r="748" ht="15.0" customHeight="true">
      <c r="A748" s="319"/>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c r="AA748" s="319"/>
    </row>
    <row r="749" ht="15.0" customHeight="true">
      <c r="A749" s="319"/>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c r="AA749" s="319"/>
    </row>
    <row r="750" ht="15.0" customHeight="true">
      <c r="A750" s="319"/>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c r="AA750" s="319"/>
    </row>
    <row r="751" ht="15.0" customHeight="true">
      <c r="A751" s="319"/>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c r="AA751" s="319"/>
    </row>
    <row r="752" ht="15.0" customHeight="true">
      <c r="A752" s="319"/>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c r="AA752" s="319"/>
    </row>
    <row r="753" ht="15.0" customHeight="true">
      <c r="A753" s="319"/>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c r="AA753" s="319"/>
    </row>
    <row r="754" ht="15.0" customHeight="true">
      <c r="A754" s="319"/>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row>
    <row r="755" ht="15.0" customHeight="true">
      <c r="A755" s="319"/>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c r="AA755" s="319"/>
    </row>
    <row r="756" ht="15.0" customHeight="true">
      <c r="A756" s="319"/>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c r="AA756" s="319"/>
    </row>
    <row r="757" ht="15.0" customHeight="true">
      <c r="A757" s="319"/>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c r="AA757" s="319"/>
    </row>
    <row r="758" ht="15.0" customHeight="true">
      <c r="A758" s="319"/>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c r="AA758" s="319"/>
    </row>
    <row r="759" ht="15.0" customHeight="true">
      <c r="A759" s="319"/>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c r="AA759" s="319"/>
    </row>
    <row r="760" ht="15.0" customHeight="true">
      <c r="A760" s="319"/>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c r="AA760" s="319"/>
    </row>
    <row r="761" ht="15.0" customHeight="true">
      <c r="A761" s="319"/>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c r="AA761" s="319"/>
    </row>
    <row r="762" ht="15.0" customHeight="true">
      <c r="A762" s="319"/>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c r="AA762" s="319"/>
    </row>
    <row r="763" ht="15.0" customHeight="true">
      <c r="A763" s="319"/>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c r="AA763" s="319"/>
    </row>
    <row r="764" ht="15.0" customHeight="true">
      <c r="A764" s="319"/>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c r="AA764" s="319"/>
    </row>
    <row r="765" ht="15.0" customHeight="true">
      <c r="A765" s="319"/>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c r="AA765" s="319"/>
    </row>
    <row r="766" ht="15.0" customHeight="true">
      <c r="A766" s="319"/>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c r="AA766" s="319"/>
    </row>
    <row r="767" ht="15.0" customHeight="true">
      <c r="A767" s="319"/>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c r="AA767" s="319"/>
    </row>
    <row r="768" ht="15.0" customHeight="true">
      <c r="A768" s="319"/>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c r="AA768" s="319"/>
    </row>
    <row r="769" ht="15.0" customHeight="true">
      <c r="A769" s="319"/>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c r="AA769" s="319"/>
    </row>
    <row r="770" ht="15.0" customHeight="true">
      <c r="A770" s="319"/>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c r="AA770" s="319"/>
    </row>
    <row r="771" ht="15.0" customHeight="true">
      <c r="A771" s="319"/>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c r="AA771" s="319"/>
    </row>
    <row r="772" ht="15.0" customHeight="true">
      <c r="A772" s="319"/>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c r="AA772" s="319"/>
    </row>
    <row r="773" ht="15.0" customHeight="true">
      <c r="A773" s="319"/>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c r="AA773" s="319"/>
    </row>
    <row r="774" ht="15.0" customHeight="true">
      <c r="A774" s="319"/>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c r="AA774" s="319"/>
    </row>
    <row r="775" ht="15.0" customHeight="true">
      <c r="A775" s="319"/>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c r="AA775" s="319"/>
    </row>
    <row r="776" ht="15.0" customHeight="true">
      <c r="A776" s="319"/>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c r="AA776" s="319"/>
    </row>
    <row r="777" ht="15.0" customHeight="true">
      <c r="A777" s="319"/>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c r="AA777" s="319"/>
    </row>
    <row r="778" ht="15.0" customHeight="true">
      <c r="A778" s="319"/>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c r="AA778" s="319"/>
    </row>
    <row r="779" ht="15.0" customHeight="true">
      <c r="A779" s="319"/>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c r="AA779" s="319"/>
    </row>
    <row r="780" ht="15.0" customHeight="true">
      <c r="A780" s="319"/>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c r="AA780" s="319"/>
    </row>
    <row r="781" ht="15.0" customHeight="true">
      <c r="A781" s="319"/>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c r="AA781" s="319"/>
    </row>
    <row r="782" ht="15.0" customHeight="true">
      <c r="A782" s="319"/>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c r="AA782" s="319"/>
    </row>
    <row r="783" ht="15.0" customHeight="true">
      <c r="A783" s="319"/>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c r="AA783" s="319"/>
    </row>
    <row r="784" ht="15.0" customHeight="true">
      <c r="A784" s="319"/>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c r="AA784" s="319"/>
    </row>
    <row r="785" ht="15.0" customHeight="true">
      <c r="A785" s="319"/>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c r="AA785" s="319"/>
    </row>
    <row r="786" ht="15.0" customHeight="true">
      <c r="A786" s="319"/>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c r="AA786" s="319"/>
    </row>
    <row r="787" ht="15.0" customHeight="true">
      <c r="A787" s="319"/>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c r="AA787" s="319"/>
    </row>
    <row r="788" ht="15.0" customHeight="true">
      <c r="A788" s="319"/>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c r="AA788" s="319"/>
    </row>
    <row r="789" ht="15.0" customHeight="true">
      <c r="A789" s="319"/>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c r="AA789" s="319"/>
    </row>
    <row r="790" ht="15.0" customHeight="true">
      <c r="A790" s="319"/>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c r="AA790" s="319"/>
    </row>
    <row r="791" ht="15.0" customHeight="true">
      <c r="A791" s="319"/>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c r="AA791" s="319"/>
    </row>
    <row r="792" ht="15.0" customHeight="true">
      <c r="A792" s="319"/>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c r="AA792" s="319"/>
    </row>
    <row r="793" ht="15.0" customHeight="true">
      <c r="A793" s="319"/>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c r="AA793" s="319"/>
    </row>
    <row r="794" ht="15.0" customHeight="true">
      <c r="A794" s="319"/>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c r="AA794" s="319"/>
    </row>
    <row r="795" ht="15.0" customHeight="true">
      <c r="A795" s="319"/>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c r="AA795" s="319"/>
    </row>
    <row r="796" ht="15.0" customHeight="true">
      <c r="A796" s="319"/>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c r="AA796" s="319"/>
    </row>
    <row r="797" ht="15.0" customHeight="true">
      <c r="A797" s="319"/>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c r="AA797" s="319"/>
    </row>
    <row r="798" ht="15.0" customHeight="true">
      <c r="A798" s="319"/>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c r="AA798" s="319"/>
    </row>
    <row r="799" ht="15.0" customHeight="true">
      <c r="A799" s="319"/>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c r="AA799" s="319"/>
    </row>
    <row r="800" ht="15.0" customHeight="true">
      <c r="A800" s="319"/>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c r="AA800" s="319"/>
    </row>
    <row r="801" ht="15.0" customHeight="true">
      <c r="A801" s="319"/>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c r="AA801" s="319"/>
    </row>
    <row r="802" ht="15.0" customHeight="true">
      <c r="A802" s="319"/>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c r="AA802" s="319"/>
    </row>
    <row r="803" ht="15.0" customHeight="true">
      <c r="A803" s="319"/>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c r="AA803" s="319"/>
    </row>
    <row r="804" ht="15.0" customHeight="true">
      <c r="A804" s="319"/>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c r="AA804" s="319"/>
    </row>
    <row r="805" ht="15.0" customHeight="true">
      <c r="A805" s="319"/>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c r="AA805" s="319"/>
    </row>
    <row r="806" ht="15.0" customHeight="true">
      <c r="A806" s="319"/>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c r="AA806" s="319"/>
    </row>
    <row r="807" ht="15.0" customHeight="true">
      <c r="A807" s="319"/>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c r="AA807" s="319"/>
    </row>
    <row r="808" ht="15.0" customHeight="true">
      <c r="A808" s="319"/>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c r="AA808" s="319"/>
    </row>
    <row r="809" ht="15.0" customHeight="true">
      <c r="A809" s="319"/>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row>
    <row r="810" ht="15.0" customHeight="true">
      <c r="A810" s="319"/>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c r="AA810" s="319"/>
    </row>
    <row r="811" ht="15.0" customHeight="true">
      <c r="A811" s="319"/>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c r="AA811" s="319"/>
    </row>
    <row r="812" ht="15.0" customHeight="true">
      <c r="A812" s="319"/>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c r="AA812" s="319"/>
    </row>
    <row r="813" ht="15.0" customHeight="true">
      <c r="A813" s="319"/>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c r="AA813" s="319"/>
    </row>
    <row r="814" ht="15.0" customHeight="true">
      <c r="A814" s="319"/>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c r="AA814" s="319"/>
    </row>
    <row r="815" ht="15.0" customHeight="true">
      <c r="A815" s="319"/>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c r="AA815" s="319"/>
    </row>
    <row r="816" ht="15.0" customHeight="true">
      <c r="A816" s="319"/>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c r="AA816" s="319"/>
    </row>
    <row r="817" ht="15.0" customHeight="true">
      <c r="A817" s="319"/>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c r="AA817" s="319"/>
    </row>
    <row r="818" ht="15.0" customHeight="true">
      <c r="A818" s="319"/>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c r="AA818" s="319"/>
    </row>
    <row r="819" ht="15.0" customHeight="true">
      <c r="A819" s="319"/>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c r="AA819" s="319"/>
    </row>
    <row r="820" ht="15.0" customHeight="true">
      <c r="A820" s="319"/>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c r="AA820" s="319"/>
    </row>
    <row r="821" ht="15.0" customHeight="true">
      <c r="A821" s="319"/>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c r="AA821" s="319"/>
    </row>
    <row r="822" ht="15.0" customHeight="true">
      <c r="A822" s="319"/>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c r="AA822" s="319"/>
    </row>
    <row r="823" ht="15.0" customHeight="true">
      <c r="A823" s="319"/>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c r="AA823" s="319"/>
    </row>
    <row r="824" ht="15.0" customHeight="true">
      <c r="A824" s="319"/>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c r="AA824" s="319"/>
    </row>
    <row r="825" ht="15.0" customHeight="true">
      <c r="A825" s="319"/>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c r="AA825" s="319"/>
    </row>
    <row r="826" ht="15.0" customHeight="true">
      <c r="A826" s="319"/>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c r="AA826" s="319"/>
    </row>
    <row r="827" ht="15.0" customHeight="true">
      <c r="A827" s="319"/>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c r="AA827" s="319"/>
    </row>
    <row r="828" ht="15.0" customHeight="true">
      <c r="A828" s="319"/>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c r="AA828" s="319"/>
    </row>
    <row r="829" ht="15.0" customHeight="true">
      <c r="A829" s="319"/>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c r="AA829" s="319"/>
    </row>
    <row r="830" ht="15.0" customHeight="true">
      <c r="A830" s="319"/>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c r="AA830" s="319"/>
    </row>
    <row r="831" ht="15.0" customHeight="true">
      <c r="A831" s="319"/>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c r="AA831" s="319"/>
    </row>
    <row r="832" ht="15.0" customHeight="true">
      <c r="A832" s="319"/>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c r="AA832" s="319"/>
    </row>
    <row r="833" ht="15.0" customHeight="true">
      <c r="A833" s="319"/>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c r="AA833" s="319"/>
    </row>
    <row r="834" ht="15.0" customHeight="true">
      <c r="A834" s="319"/>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c r="AA834" s="319"/>
    </row>
    <row r="835" ht="15.0" customHeight="true">
      <c r="A835" s="319"/>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c r="AA835" s="319"/>
    </row>
    <row r="836" ht="15.0" customHeight="true">
      <c r="A836" s="319"/>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c r="AA836" s="319"/>
    </row>
    <row r="837" ht="15.0" customHeight="true">
      <c r="A837" s="319"/>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c r="AA837" s="319"/>
    </row>
    <row r="838" ht="15.0" customHeight="true">
      <c r="A838" s="319"/>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c r="AA838" s="319"/>
    </row>
    <row r="839" ht="15.0" customHeight="true">
      <c r="A839" s="319"/>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c r="AA839" s="319"/>
    </row>
    <row r="840" ht="15.0" customHeight="true">
      <c r="A840" s="319"/>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c r="AA840" s="319"/>
    </row>
    <row r="841" ht="15.0" customHeight="true">
      <c r="A841" s="319"/>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c r="AA841" s="319"/>
    </row>
    <row r="842" ht="15.0" customHeight="true">
      <c r="A842" s="319"/>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c r="AA842" s="319"/>
    </row>
    <row r="843" ht="15.0" customHeight="true">
      <c r="A843" s="319"/>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c r="AA843" s="319"/>
    </row>
    <row r="844" ht="15.0" customHeight="true">
      <c r="A844" s="319"/>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c r="AA844" s="319"/>
    </row>
    <row r="845" ht="15.0" customHeight="true">
      <c r="A845" s="319"/>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c r="AA845" s="319"/>
    </row>
    <row r="846" ht="15.0" customHeight="true">
      <c r="A846" s="319"/>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c r="AA846" s="319"/>
    </row>
    <row r="847" ht="15.0" customHeight="true">
      <c r="A847" s="319"/>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c r="AA847" s="319"/>
    </row>
    <row r="848" ht="15.0" customHeight="true">
      <c r="A848" s="319"/>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c r="AA848" s="319"/>
    </row>
    <row r="849" ht="15.0" customHeight="true">
      <c r="A849" s="319"/>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c r="AA849" s="319"/>
    </row>
    <row r="850" ht="15.0" customHeight="true">
      <c r="A850" s="319"/>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c r="AA850" s="319"/>
    </row>
    <row r="851" ht="15.0" customHeight="true">
      <c r="A851" s="319"/>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c r="AA851" s="319"/>
    </row>
    <row r="852" ht="15.0" customHeight="true">
      <c r="A852" s="319"/>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c r="AA852" s="319"/>
    </row>
    <row r="853" ht="15.0" customHeight="true">
      <c r="A853" s="319"/>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c r="AA853" s="319"/>
    </row>
    <row r="854" ht="15.0" customHeight="true">
      <c r="A854" s="319"/>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c r="AA854" s="319"/>
    </row>
    <row r="855" ht="15.0" customHeight="true">
      <c r="A855" s="319"/>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c r="AA855" s="319"/>
    </row>
    <row r="856" ht="15.0" customHeight="true">
      <c r="A856" s="319"/>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c r="AA856" s="319"/>
    </row>
    <row r="857" ht="15.0" customHeight="true">
      <c r="A857" s="319"/>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c r="AA857" s="319"/>
    </row>
    <row r="858" ht="15.0" customHeight="true">
      <c r="A858" s="319"/>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c r="AA858" s="319"/>
    </row>
    <row r="859" ht="15.0" customHeight="true">
      <c r="A859" s="319"/>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c r="AA859" s="319"/>
    </row>
    <row r="860" ht="15.0" customHeight="true">
      <c r="A860" s="319"/>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c r="AA860" s="319"/>
    </row>
    <row r="861" ht="15.0" customHeight="true">
      <c r="A861" s="319"/>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c r="AA861" s="319"/>
    </row>
    <row r="862" ht="15.0" customHeight="true">
      <c r="A862" s="319"/>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c r="AA862" s="319"/>
    </row>
    <row r="863" ht="15.0" customHeight="true">
      <c r="A863" s="319"/>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c r="AA863" s="319"/>
    </row>
    <row r="864" ht="15.0" customHeight="true">
      <c r="A864" s="319"/>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c r="AA864" s="319"/>
    </row>
    <row r="865" ht="15.0" customHeight="true">
      <c r="A865" s="319"/>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c r="AA865" s="319"/>
    </row>
    <row r="866" ht="15.0" customHeight="true">
      <c r="A866" s="319"/>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c r="AA866" s="319"/>
    </row>
    <row r="867" ht="15.0" customHeight="true">
      <c r="A867" s="319"/>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c r="AA867" s="319"/>
    </row>
    <row r="868" ht="15.0" customHeight="true">
      <c r="A868" s="319"/>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c r="AA868" s="319"/>
    </row>
    <row r="869" ht="15.0" customHeight="true">
      <c r="A869" s="319"/>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c r="AA869" s="319"/>
    </row>
    <row r="870" ht="15.0" customHeight="true">
      <c r="A870" s="319"/>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c r="AA870" s="319"/>
    </row>
    <row r="871" ht="15.0" customHeight="true">
      <c r="A871" s="319"/>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c r="AA871" s="319"/>
    </row>
    <row r="872" ht="15.0" customHeight="true">
      <c r="A872" s="319"/>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c r="AA872" s="319"/>
    </row>
    <row r="873" ht="15.0" customHeight="true">
      <c r="A873" s="319"/>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c r="AA873" s="319"/>
    </row>
    <row r="874" ht="15.0" customHeight="true">
      <c r="A874" s="319"/>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c r="AA874" s="319"/>
    </row>
    <row r="875" ht="15.0" customHeight="true">
      <c r="A875" s="319"/>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c r="AA875" s="319"/>
    </row>
    <row r="876" ht="15.0" customHeight="true">
      <c r="A876" s="319"/>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c r="AA876" s="319"/>
    </row>
    <row r="877" ht="15.0" customHeight="true">
      <c r="A877" s="319"/>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c r="AA877" s="319"/>
    </row>
    <row r="878" ht="15.0" customHeight="true">
      <c r="A878" s="319"/>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c r="AA878" s="319"/>
    </row>
    <row r="879" ht="15.0" customHeight="true">
      <c r="A879" s="319"/>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c r="AA879" s="319"/>
    </row>
    <row r="880" ht="15.0" customHeight="true">
      <c r="A880" s="319"/>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c r="AA880" s="319"/>
    </row>
    <row r="881" ht="15.0" customHeight="true">
      <c r="A881" s="319"/>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c r="AA881" s="319"/>
    </row>
    <row r="882" ht="15.0" customHeight="true">
      <c r="A882" s="319"/>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c r="AA882" s="319"/>
    </row>
    <row r="883" ht="15.0" customHeight="true">
      <c r="A883" s="319"/>
      <c r="B883" s="319"/>
      <c r="C883" s="319"/>
      <c r="D883" s="319"/>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c r="AA883" s="319"/>
    </row>
    <row r="884" ht="15.0" customHeight="true">
      <c r="A884" s="319"/>
      <c r="B884" s="319"/>
      <c r="C884" s="319"/>
      <c r="D884" s="319"/>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c r="AA884" s="319"/>
    </row>
    <row r="885" ht="15.0" customHeight="true">
      <c r="A885" s="319"/>
      <c r="B885" s="319"/>
      <c r="C885" s="319"/>
      <c r="D885" s="319"/>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c r="AA885" s="319"/>
    </row>
    <row r="886" ht="15.0" customHeight="true">
      <c r="A886" s="319"/>
      <c r="B886" s="319"/>
      <c r="C886" s="319"/>
      <c r="D886" s="319"/>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c r="AA886" s="319"/>
    </row>
    <row r="887" ht="15.0" customHeight="true">
      <c r="A887" s="319"/>
      <c r="B887" s="319"/>
      <c r="C887" s="319"/>
      <c r="D887" s="319"/>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c r="AA887" s="319"/>
    </row>
    <row r="888" ht="15.0" customHeight="true">
      <c r="A888" s="319"/>
      <c r="B888" s="319"/>
      <c r="C888" s="319"/>
      <c r="D888" s="319"/>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c r="AA888" s="319"/>
    </row>
    <row r="889" ht="15.0" customHeight="true">
      <c r="A889" s="319"/>
      <c r="B889" s="319"/>
      <c r="C889" s="319"/>
      <c r="D889" s="319"/>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c r="AA889" s="319"/>
    </row>
    <row r="890" ht="15.0" customHeight="true">
      <c r="A890" s="319"/>
      <c r="B890" s="319"/>
      <c r="C890" s="319"/>
      <c r="D890" s="319"/>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c r="AA890" s="319"/>
    </row>
    <row r="891" ht="15.0" customHeight="true">
      <c r="A891" s="319"/>
      <c r="B891" s="319"/>
      <c r="C891" s="319"/>
      <c r="D891" s="319"/>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c r="AA891" s="319"/>
    </row>
    <row r="892" ht="15.0" customHeight="true">
      <c r="A892" s="319"/>
      <c r="B892" s="319"/>
      <c r="C892" s="319"/>
      <c r="D892" s="319"/>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c r="AA892" s="319"/>
    </row>
    <row r="893" ht="15.0" customHeight="true">
      <c r="A893" s="319"/>
      <c r="B893" s="319"/>
      <c r="C893" s="319"/>
      <c r="D893" s="319"/>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c r="AA893" s="319"/>
    </row>
    <row r="894" ht="15.0" customHeight="true">
      <c r="A894" s="319"/>
      <c r="B894" s="319"/>
      <c r="C894" s="319"/>
      <c r="D894" s="319"/>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c r="AA894" s="319"/>
    </row>
    <row r="895" ht="15.0" customHeight="true">
      <c r="A895" s="319"/>
      <c r="B895" s="319"/>
      <c r="C895" s="319"/>
      <c r="D895" s="319"/>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c r="AA895" s="319"/>
    </row>
    <row r="896" ht="15.0" customHeight="true">
      <c r="A896" s="319"/>
      <c r="B896" s="319"/>
      <c r="C896" s="319"/>
      <c r="D896" s="319"/>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c r="AA896" s="319"/>
    </row>
    <row r="897" ht="15.0" customHeight="true">
      <c r="A897" s="319"/>
      <c r="B897" s="319"/>
      <c r="C897" s="319"/>
      <c r="D897" s="319"/>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c r="AA897" s="319"/>
    </row>
    <row r="898" ht="15.0" customHeight="true">
      <c r="A898" s="319"/>
      <c r="B898" s="319"/>
      <c r="C898" s="319"/>
      <c r="D898" s="319"/>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c r="AA898" s="319"/>
    </row>
    <row r="899" ht="15.0" customHeight="true">
      <c r="A899" s="319"/>
      <c r="B899" s="319"/>
      <c r="C899" s="319"/>
      <c r="D899" s="319"/>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c r="AA899" s="319"/>
    </row>
    <row r="900" ht="15.0" customHeight="true">
      <c r="A900" s="319"/>
      <c r="B900" s="319"/>
      <c r="C900" s="319"/>
      <c r="D900" s="319"/>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c r="AA900" s="319"/>
    </row>
    <row r="901" ht="15.0" customHeight="true">
      <c r="A901" s="319"/>
      <c r="B901" s="319"/>
      <c r="C901" s="319"/>
      <c r="D901" s="319"/>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c r="AA901" s="319"/>
    </row>
    <row r="902" ht="15.0" customHeight="true">
      <c r="A902" s="319"/>
      <c r="B902" s="319"/>
      <c r="C902" s="319"/>
      <c r="D902" s="319"/>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c r="AA902" s="319"/>
    </row>
    <row r="903" ht="15.0" customHeight="true">
      <c r="A903" s="319"/>
      <c r="B903" s="319"/>
      <c r="C903" s="319"/>
      <c r="D903" s="319"/>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c r="AA903" s="319"/>
    </row>
    <row r="904" ht="15.0" customHeight="true">
      <c r="A904" s="319"/>
      <c r="B904" s="319"/>
      <c r="C904" s="319"/>
      <c r="D904" s="319"/>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c r="AA904" s="319"/>
    </row>
    <row r="905" ht="15.0" customHeight="true">
      <c r="A905" s="319"/>
      <c r="B905" s="319"/>
      <c r="C905" s="319"/>
      <c r="D905" s="319"/>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c r="AA905" s="319"/>
    </row>
    <row r="906" ht="15.0" customHeight="true">
      <c r="A906" s="319"/>
      <c r="B906" s="319"/>
      <c r="C906" s="319"/>
      <c r="D906" s="319"/>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c r="AA906" s="319"/>
    </row>
    <row r="907" ht="15.0" customHeight="true">
      <c r="A907" s="319"/>
      <c r="B907" s="319"/>
      <c r="C907" s="319"/>
      <c r="D907" s="319"/>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c r="AA907" s="319"/>
    </row>
    <row r="908" ht="15.0" customHeight="true">
      <c r="A908" s="319"/>
      <c r="B908" s="319"/>
      <c r="C908" s="319"/>
      <c r="D908" s="319"/>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c r="AA908" s="319"/>
    </row>
    <row r="909" ht="15.0" customHeight="true">
      <c r="A909" s="319"/>
      <c r="B909" s="319"/>
      <c r="C909" s="319"/>
      <c r="D909" s="319"/>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c r="AA909" s="319"/>
    </row>
    <row r="910" ht="15.0" customHeight="true">
      <c r="A910" s="319"/>
      <c r="B910" s="319"/>
      <c r="C910" s="319"/>
      <c r="D910" s="319"/>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c r="AA910" s="319"/>
    </row>
    <row r="911" ht="15.0" customHeight="true">
      <c r="A911" s="319"/>
      <c r="B911" s="319"/>
      <c r="C911" s="319"/>
      <c r="D911" s="319"/>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c r="AA911" s="319"/>
    </row>
    <row r="912" ht="15.0" customHeight="true">
      <c r="A912" s="319"/>
      <c r="B912" s="319"/>
      <c r="C912" s="319"/>
      <c r="D912" s="319"/>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c r="AA912" s="319"/>
    </row>
    <row r="913" ht="15.0" customHeight="true">
      <c r="A913" s="319"/>
      <c r="B913" s="319"/>
      <c r="C913" s="319"/>
      <c r="D913" s="319"/>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c r="AA913" s="319"/>
    </row>
    <row r="914" ht="15.0" customHeight="true">
      <c r="A914" s="319"/>
      <c r="B914" s="319"/>
      <c r="C914" s="319"/>
      <c r="D914" s="319"/>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c r="AA914" s="319"/>
    </row>
    <row r="915" ht="15.0" customHeight="true">
      <c r="A915" s="319"/>
      <c r="B915" s="319"/>
      <c r="C915" s="319"/>
      <c r="D915" s="319"/>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c r="AA915" s="319"/>
    </row>
    <row r="916" ht="15.0" customHeight="true">
      <c r="A916" s="319"/>
      <c r="B916" s="319"/>
      <c r="C916" s="319"/>
      <c r="D916" s="319"/>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c r="AA916" s="319"/>
    </row>
    <row r="917" ht="15.0" customHeight="true">
      <c r="A917" s="319"/>
      <c r="B917" s="319"/>
      <c r="C917" s="319"/>
      <c r="D917" s="319"/>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c r="AA917" s="319"/>
    </row>
    <row r="918" ht="15.0" customHeight="true">
      <c r="A918" s="319"/>
      <c r="B918" s="319"/>
      <c r="C918" s="319"/>
      <c r="D918" s="319"/>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c r="AA918" s="319"/>
    </row>
    <row r="919" ht="15.0" customHeight="true">
      <c r="A919" s="319"/>
      <c r="B919" s="319"/>
      <c r="C919" s="319"/>
      <c r="D919" s="319"/>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c r="AA919" s="319"/>
    </row>
    <row r="920" ht="15.0" customHeight="true">
      <c r="A920" s="319"/>
      <c r="B920" s="319"/>
      <c r="C920" s="319"/>
      <c r="D920" s="319"/>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c r="AA920" s="319"/>
    </row>
    <row r="921" ht="15.0" customHeight="true">
      <c r="A921" s="319"/>
      <c r="B921" s="319"/>
      <c r="C921" s="319"/>
      <c r="D921" s="319"/>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c r="AA921" s="319"/>
    </row>
    <row r="922" ht="15.0" customHeight="true">
      <c r="A922" s="319"/>
      <c r="B922" s="319"/>
      <c r="C922" s="319"/>
      <c r="D922" s="319"/>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c r="AA922" s="319"/>
    </row>
    <row r="923" ht="15.0" customHeight="true">
      <c r="A923" s="319"/>
      <c r="B923" s="319"/>
      <c r="C923" s="319"/>
      <c r="D923" s="319"/>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c r="AA923" s="319"/>
    </row>
    <row r="924" ht="15.0" customHeight="true">
      <c r="A924" s="319"/>
      <c r="B924" s="319"/>
      <c r="C924" s="319"/>
      <c r="D924" s="319"/>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c r="AA924" s="319"/>
    </row>
    <row r="925" ht="15.0" customHeight="true">
      <c r="A925" s="319"/>
      <c r="B925" s="319"/>
      <c r="C925" s="319"/>
      <c r="D925" s="319"/>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c r="AA925" s="319"/>
    </row>
    <row r="926" ht="15.0" customHeight="true">
      <c r="A926" s="319"/>
      <c r="B926" s="319"/>
      <c r="C926" s="319"/>
      <c r="D926" s="319"/>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c r="AA926" s="319"/>
    </row>
    <row r="927" ht="15.0" customHeight="true">
      <c r="A927" s="319"/>
      <c r="B927" s="319"/>
      <c r="C927" s="319"/>
      <c r="D927" s="319"/>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c r="AA927" s="319"/>
    </row>
    <row r="928" ht="15.0" customHeight="true">
      <c r="A928" s="319"/>
      <c r="B928" s="319"/>
      <c r="C928" s="319"/>
      <c r="D928" s="319"/>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c r="AA928" s="319"/>
    </row>
    <row r="929" ht="15.0" customHeight="true">
      <c r="A929" s="319"/>
      <c r="B929" s="319"/>
      <c r="C929" s="319"/>
      <c r="D929" s="319"/>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c r="AA929" s="319"/>
    </row>
    <row r="930" ht="15.0" customHeight="true">
      <c r="A930" s="319"/>
      <c r="B930" s="319"/>
      <c r="C930" s="319"/>
      <c r="D930" s="319"/>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c r="AA930" s="319"/>
    </row>
    <row r="931" ht="15.0" customHeight="true">
      <c r="A931" s="319"/>
      <c r="B931" s="319"/>
      <c r="C931" s="319"/>
      <c r="D931" s="319"/>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c r="AA931" s="319"/>
    </row>
    <row r="932" ht="15.0" customHeight="true">
      <c r="A932" s="319"/>
      <c r="B932" s="319"/>
      <c r="C932" s="319"/>
      <c r="D932" s="319"/>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c r="AA932" s="319"/>
    </row>
    <row r="933" ht="15.0" customHeight="true">
      <c r="A933" s="319"/>
      <c r="B933" s="319"/>
      <c r="C933" s="319"/>
      <c r="D933" s="319"/>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c r="AA933" s="319"/>
    </row>
    <row r="934" ht="15.0" customHeight="true">
      <c r="A934" s="319"/>
      <c r="B934" s="319"/>
      <c r="C934" s="319"/>
      <c r="D934" s="319"/>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c r="AA934" s="319"/>
    </row>
    <row r="935" ht="15.0" customHeight="true">
      <c r="A935" s="319"/>
      <c r="B935" s="319"/>
      <c r="C935" s="319"/>
      <c r="D935" s="319"/>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c r="AA935" s="319"/>
    </row>
    <row r="936" ht="15.0" customHeight="true">
      <c r="A936" s="319"/>
      <c r="B936" s="319"/>
      <c r="C936" s="319"/>
      <c r="D936" s="319"/>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c r="AA936" s="319"/>
    </row>
    <row r="937" ht="15.0" customHeight="true">
      <c r="A937" s="319"/>
      <c r="B937" s="319"/>
      <c r="C937" s="319"/>
      <c r="D937" s="319"/>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c r="AA937" s="319"/>
    </row>
    <row r="938" ht="15.0" customHeight="true">
      <c r="A938" s="319"/>
      <c r="B938" s="319"/>
      <c r="C938" s="319"/>
      <c r="D938" s="319"/>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c r="AA938" s="319"/>
    </row>
    <row r="939" ht="15.0" customHeight="true">
      <c r="A939" s="319"/>
      <c r="B939" s="319"/>
      <c r="C939" s="319"/>
      <c r="D939" s="319"/>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c r="AA939" s="319"/>
    </row>
    <row r="940" ht="15.0" customHeight="true">
      <c r="A940" s="319"/>
      <c r="B940" s="319"/>
      <c r="C940" s="319"/>
      <c r="D940" s="319"/>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c r="AA940" s="319"/>
    </row>
    <row r="941" ht="15.0" customHeight="true">
      <c r="A941" s="319"/>
      <c r="B941" s="319"/>
      <c r="C941" s="319"/>
      <c r="D941" s="319"/>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c r="AA941" s="319"/>
    </row>
    <row r="942" ht="15.0" customHeight="true">
      <c r="A942" s="319"/>
      <c r="B942" s="319"/>
      <c r="C942" s="319"/>
      <c r="D942" s="319"/>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c r="AA942" s="319"/>
    </row>
    <row r="943" ht="15.0" customHeight="true">
      <c r="A943" s="319"/>
      <c r="B943" s="319"/>
      <c r="C943" s="319"/>
      <c r="D943" s="319"/>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c r="AA943" s="319"/>
    </row>
    <row r="944" ht="15.0" customHeight="true">
      <c r="A944" s="319"/>
      <c r="B944" s="319"/>
      <c r="C944" s="319"/>
      <c r="D944" s="319"/>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c r="AA944" s="319"/>
    </row>
    <row r="945" ht="15.0" customHeight="true">
      <c r="A945" s="319"/>
      <c r="B945" s="319"/>
      <c r="C945" s="319"/>
      <c r="D945" s="319"/>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c r="AA945" s="319"/>
    </row>
    <row r="946" ht="15.0" customHeight="true">
      <c r="A946" s="319"/>
      <c r="B946" s="319"/>
      <c r="C946" s="319"/>
      <c r="D946" s="319"/>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c r="AA946" s="319"/>
    </row>
    <row r="947" ht="15.0" customHeight="true">
      <c r="A947" s="319"/>
      <c r="B947" s="319"/>
      <c r="C947" s="319"/>
      <c r="D947" s="319"/>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c r="AA947" s="319"/>
    </row>
    <row r="948" ht="15.0" customHeight="true">
      <c r="A948" s="319"/>
      <c r="B948" s="319"/>
      <c r="C948" s="319"/>
      <c r="D948" s="319"/>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c r="AA948" s="319"/>
    </row>
    <row r="949" ht="15.0" customHeight="true">
      <c r="A949" s="319"/>
      <c r="B949" s="319"/>
      <c r="C949" s="319"/>
      <c r="D949" s="319"/>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c r="AA949" s="319"/>
    </row>
    <row r="950" ht="15.0" customHeight="true">
      <c r="A950" s="319"/>
      <c r="B950" s="319"/>
      <c r="C950" s="319"/>
      <c r="D950" s="319"/>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c r="AA950" s="319"/>
    </row>
    <row r="951" ht="15.0" customHeight="true">
      <c r="A951" s="319"/>
      <c r="B951" s="319"/>
      <c r="C951" s="319"/>
      <c r="D951" s="319"/>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c r="AA951" s="319"/>
    </row>
    <row r="952" ht="15.0" customHeight="true">
      <c r="A952" s="319"/>
      <c r="B952" s="319"/>
      <c r="C952" s="319"/>
      <c r="D952" s="319"/>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c r="AA952" s="319"/>
    </row>
    <row r="953" ht="15.0" customHeight="true">
      <c r="A953" s="319"/>
      <c r="B953" s="319"/>
      <c r="C953" s="319"/>
      <c r="D953" s="319"/>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c r="AA953" s="319"/>
    </row>
    <row r="954" ht="15.0" customHeight="true">
      <c r="A954" s="319"/>
      <c r="B954" s="319"/>
      <c r="C954" s="319"/>
      <c r="D954" s="319"/>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c r="AA954" s="319"/>
    </row>
    <row r="955" ht="15.0" customHeight="true">
      <c r="A955" s="319"/>
      <c r="B955" s="319"/>
      <c r="C955" s="319"/>
      <c r="D955" s="319"/>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c r="AA955" s="319"/>
    </row>
    <row r="956" ht="15.0" customHeight="true">
      <c r="A956" s="319"/>
      <c r="B956" s="319"/>
      <c r="C956" s="319"/>
      <c r="D956" s="319"/>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c r="AA956" s="319"/>
    </row>
    <row r="957" ht="15.0" customHeight="true">
      <c r="A957" s="319"/>
      <c r="B957" s="319"/>
      <c r="C957" s="319"/>
      <c r="D957" s="319"/>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c r="AA957" s="319"/>
    </row>
    <row r="958" ht="15.0" customHeight="true">
      <c r="A958" s="319"/>
      <c r="B958" s="319"/>
      <c r="C958" s="319"/>
      <c r="D958" s="319"/>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c r="AA958" s="319"/>
    </row>
    <row r="959" ht="15.0" customHeight="true">
      <c r="A959" s="319"/>
      <c r="B959" s="319"/>
      <c r="C959" s="319"/>
      <c r="D959" s="319"/>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c r="AA959" s="319"/>
    </row>
    <row r="960" ht="15.0" customHeight="true">
      <c r="A960" s="319"/>
      <c r="B960" s="319"/>
      <c r="C960" s="319"/>
      <c r="D960" s="319"/>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c r="AA960" s="319"/>
    </row>
    <row r="961" ht="15.0" customHeight="true">
      <c r="A961" s="319"/>
      <c r="B961" s="319"/>
      <c r="C961" s="319"/>
      <c r="D961" s="319"/>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c r="AA961" s="319"/>
    </row>
    <row r="962" ht="15.0" customHeight="true">
      <c r="A962" s="319"/>
      <c r="B962" s="319"/>
      <c r="C962" s="319"/>
      <c r="D962" s="319"/>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c r="AA962" s="319"/>
    </row>
    <row r="963" ht="15.0" customHeight="true">
      <c r="A963" s="319"/>
      <c r="B963" s="319"/>
      <c r="C963" s="319"/>
      <c r="D963" s="319"/>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c r="AA963" s="319"/>
    </row>
    <row r="964" ht="15.0" customHeight="true">
      <c r="A964" s="319"/>
      <c r="B964" s="319"/>
      <c r="C964" s="319"/>
      <c r="D964" s="319"/>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c r="AA964" s="319"/>
    </row>
    <row r="965" ht="15.0" customHeight="true">
      <c r="A965" s="319"/>
      <c r="B965" s="319"/>
      <c r="C965" s="319"/>
      <c r="D965" s="319"/>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c r="AA965" s="319"/>
    </row>
    <row r="966" ht="15.0" customHeight="true">
      <c r="A966" s="319"/>
      <c r="B966" s="319"/>
      <c r="C966" s="319"/>
      <c r="D966" s="319"/>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c r="AA966" s="319"/>
    </row>
    <row r="967" ht="15.0" customHeight="true">
      <c r="A967" s="319"/>
      <c r="B967" s="319"/>
      <c r="C967" s="319"/>
      <c r="D967" s="319"/>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c r="AA967" s="319"/>
    </row>
    <row r="968" ht="15.0" customHeight="true">
      <c r="A968" s="319"/>
      <c r="B968" s="319"/>
      <c r="C968" s="319"/>
      <c r="D968" s="319"/>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c r="AA968" s="319"/>
    </row>
    <row r="969" ht="15.0" customHeight="true">
      <c r="A969" s="319"/>
      <c r="B969" s="319"/>
      <c r="C969" s="319"/>
      <c r="D969" s="319"/>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c r="AA969" s="319"/>
    </row>
    <row r="970" ht="15.0" customHeight="true">
      <c r="A970" s="319"/>
      <c r="B970" s="319"/>
      <c r="C970" s="319"/>
      <c r="D970" s="319"/>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c r="AA970" s="319"/>
    </row>
    <row r="971" ht="15.0" customHeight="true">
      <c r="A971" s="319"/>
      <c r="B971" s="319"/>
      <c r="C971" s="319"/>
      <c r="D971" s="319"/>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c r="AA971" s="319"/>
    </row>
    <row r="972" ht="15.0" customHeight="true">
      <c r="A972" s="319"/>
      <c r="B972" s="319"/>
      <c r="C972" s="319"/>
      <c r="D972" s="319"/>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c r="AA972" s="319"/>
    </row>
    <row r="973" ht="15.0" customHeight="true">
      <c r="A973" s="319"/>
      <c r="B973" s="319"/>
      <c r="C973" s="319"/>
      <c r="D973" s="319"/>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c r="AA973" s="319"/>
    </row>
    <row r="974" ht="15.0" customHeight="true">
      <c r="A974" s="319"/>
      <c r="B974" s="319"/>
      <c r="C974" s="319"/>
      <c r="D974" s="319"/>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c r="AA974" s="319"/>
    </row>
    <row r="975" ht="15.0" customHeight="true">
      <c r="A975" s="319"/>
      <c r="B975" s="319"/>
      <c r="C975" s="319"/>
      <c r="D975" s="319"/>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c r="AA975" s="319"/>
    </row>
    <row r="976" ht="15.0" customHeight="true">
      <c r="A976" s="319"/>
      <c r="B976" s="319"/>
      <c r="C976" s="319"/>
      <c r="D976" s="319"/>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c r="AA976" s="319"/>
    </row>
    <row r="977" ht="15.0" customHeight="true">
      <c r="A977" s="319"/>
      <c r="B977" s="319"/>
      <c r="C977" s="319"/>
      <c r="D977" s="319"/>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c r="AA977" s="319"/>
    </row>
    <row r="978" ht="15.0" customHeight="true">
      <c r="A978" s="319"/>
      <c r="B978" s="319"/>
      <c r="C978" s="319"/>
      <c r="D978" s="319"/>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c r="AA978" s="319"/>
    </row>
    <row r="979" ht="15.0" customHeight="true">
      <c r="A979" s="319"/>
      <c r="B979" s="319"/>
      <c r="C979" s="319"/>
      <c r="D979" s="319"/>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c r="AA979" s="319"/>
    </row>
    <row r="980" ht="15.0" customHeight="true">
      <c r="A980" s="319"/>
      <c r="B980" s="319"/>
      <c r="C980" s="319"/>
      <c r="D980" s="319"/>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c r="AA980" s="319"/>
    </row>
    <row r="981" ht="15.0" customHeight="true">
      <c r="A981" s="319"/>
      <c r="B981" s="319"/>
      <c r="C981" s="319"/>
      <c r="D981" s="319"/>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c r="AA981" s="319"/>
    </row>
    <row r="982" ht="15.0" customHeight="true">
      <c r="A982" s="319"/>
      <c r="B982" s="319"/>
      <c r="C982" s="319"/>
      <c r="D982" s="319"/>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c r="AA982" s="319"/>
    </row>
    <row r="983" ht="15.0" customHeight="true">
      <c r="A983" s="319"/>
      <c r="B983" s="319"/>
      <c r="C983" s="319"/>
      <c r="D983" s="319"/>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c r="AA983" s="319"/>
    </row>
    <row r="984" ht="15.0" customHeight="true">
      <c r="A984" s="319"/>
      <c r="B984" s="319"/>
      <c r="C984" s="319"/>
      <c r="D984" s="319"/>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c r="AA984" s="319"/>
    </row>
    <row r="985" ht="15.0" customHeight="true">
      <c r="A985" s="319"/>
      <c r="B985" s="319"/>
      <c r="C985" s="319"/>
      <c r="D985" s="319"/>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c r="AA985" s="319"/>
    </row>
    <row r="986" ht="15.0" customHeight="true">
      <c r="A986" s="319"/>
      <c r="B986" s="319"/>
      <c r="C986" s="319"/>
      <c r="D986" s="319"/>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c r="AA986" s="319"/>
    </row>
    <row r="987" ht="15.0" customHeight="true">
      <c r="A987" s="319"/>
      <c r="B987" s="319"/>
      <c r="C987" s="319"/>
      <c r="D987" s="319"/>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c r="AA987" s="319"/>
    </row>
    <row r="988" ht="15.0" customHeight="true">
      <c r="A988" s="319"/>
      <c r="B988" s="319"/>
      <c r="C988" s="319"/>
      <c r="D988" s="319"/>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c r="AA988" s="319"/>
    </row>
    <row r="989" ht="15.0" customHeight="true">
      <c r="A989" s="319"/>
      <c r="B989" s="319"/>
      <c r="C989" s="319"/>
      <c r="D989" s="319"/>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c r="AA989" s="319"/>
    </row>
    <row r="990" ht="15.0" customHeight="true">
      <c r="A990" s="319"/>
      <c r="B990" s="319"/>
      <c r="C990" s="319"/>
      <c r="D990" s="319"/>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c r="AA990" s="319"/>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2026-09-15T04:54:37Z</dcterms:created>
  <dc:creator>openpyxl</dc:creator>
</cp:coreProperties>
</file>

<file path=docProps/custom.xml><?xml version="1.0" encoding="utf-8"?>
<Properties xmlns="http://schemas.openxmlformats.org/officeDocument/2006/custom-properties" xmlns:vt="http://schemas.openxmlformats.org/officeDocument/2006/docPropsVTypes"/>
</file>